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ieza acá" sheetId="1" state="visible" r:id="rId3"/>
    <sheet name="Productos" sheetId="2" state="visible" r:id="rId4"/>
    <sheet name="Movimientos" sheetId="3" state="visible" r:id="rId5"/>
    <sheet name="Qué repon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<sst xmlns="http://schemas.openxmlformats.org/spreadsheetml/2006/main" count="55" uniqueCount="47">
  <si>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 xml:space="preserve">Control de stock para tu negocio</t>
  </si>
  <si>
    <t xml:space="preserve">Tres hojas. Solo escribes en dos de ellas. El resto se calcula solo.</t>
  </si>
  <si>
    <t xml:space="preserve">Cómo se usa</t>
  </si>
  <si>
    <t xml:space="preserve">1. En la hoja «Productos» escribe lo que vendes: nombre, cuánto tienes hoy y cuál es tu mínimo.</t>
  </si>
  <si>
    <t xml:space="preserve">   El mínimo es la cantidad con la que ya te conviene reponer, no la que te deja en cero.</t>
  </si>
  <si>
    <t xml:space="preserve">2. En la hoja «Movimientos» anotas cada entrada y cada salida, con la fecha.</t>
  </si>
  <si>
    <t xml:space="preserve">   Una línea por movimiento. No hay que borrar nada nunca.</t>
  </si>
  <si>
    <t xml:space="preserve">3. La hoja «Qué reponer» te dice sola qué está bajo el mínimo y cuánto pedir.</t>
  </si>
  <si>
    <t xml:space="preserve">   Esa hoja no se toca: se llena sola con lo que escribiste en las otras dos.</t>
  </si>
  <si>
    <t xml:space="preserve">Las celdas con fondo amarillo son las que llenas tú. Las demás tienen fórmulas.</t>
  </si>
  <si>
    <t xml:space="preserve">Dejé una fila de ejemplo en cada hoja para que veas el formato. Bórrala cuando</t>
  </si>
  <si>
    <t xml:space="preserve">cargues lo tuyo.</t>
  </si>
  <si>
    <t xml:space="preserve">Si llevarlo a mano te empieza a cansar, eso mismo se puede automatizar por WhatsApp:</t>
  </si>
  <si>
    <t xml:space="preserve">avisas por mensaje lo que entra y lo que sale, y el stock se descuenta solo.</t>
  </si>
  <si>
    <t xml:space="preserve">ByM Solutions · Iquique · instagram.com/bymsolution</t>
  </si>
  <si>
    <t xml:space="preserve">Productos</t>
  </si>
  <si>
    <t xml:space="preserve">Llena las columnas amarillas. «Stock hoy» y «Estado» se calculan solos.</t>
  </si>
  <si>
    <t xml:space="preserve">Producto</t>
  </si>
  <si>
    <t xml:space="preserve">Categoría</t>
  </si>
  <si>
    <t xml:space="preserve">Stock inicial</t>
  </si>
  <si>
    <t xml:space="preserve">Mínimo</t>
  </si>
  <si>
    <t xml:space="preserve">Precio compra</t>
  </si>
  <si>
    <t xml:space="preserve">Stock hoy</t>
  </si>
  <si>
    <t xml:space="preserve">Estado</t>
  </si>
  <si>
    <t xml:space="preserve">Cerveza 350 ml (ejemplo)</t>
  </si>
  <si>
    <t xml:space="preserve">Bebidas</t>
  </si>
  <si>
    <t xml:space="preserve">Bebida 1,5 L</t>
  </si>
  <si>
    <t xml:space="preserve">Arroz 1 kg</t>
  </si>
  <si>
    <t xml:space="preserve">Abarrotes</t>
  </si>
  <si>
    <t xml:space="preserve">Pan de molde</t>
  </si>
  <si>
    <t xml:space="preserve">Panadería</t>
  </si>
  <si>
    <t xml:space="preserve">Movimientos</t>
  </si>
  <si>
    <t xml:space="preserve">Una línea por cada entrada o salida. El producto tiene que escribirse igual que en la hoja «Productos».</t>
  </si>
  <si>
    <t xml:space="preserve">Fecha</t>
  </si>
  <si>
    <t xml:space="preserve">Entrada o salida</t>
  </si>
  <si>
    <t xml:space="preserve">Cantidad</t>
  </si>
  <si>
    <t xml:space="preserve">Nota</t>
  </si>
  <si>
    <t xml:space="preserve">2026-10-20</t>
  </si>
  <si>
    <t xml:space="preserve">Entrada</t>
  </si>
  <si>
    <t xml:space="preserve">Llegó pedido del proveedor</t>
  </si>
  <si>
    <t xml:space="preserve">2026-10-21</t>
  </si>
  <si>
    <t xml:space="preserve">Salida</t>
  </si>
  <si>
    <t xml:space="preserve">Ventas del fin de semana</t>
  </si>
  <si>
    <t xml:space="preserve">Qué reponer</t>
  </si>
  <si>
    <t xml:space="preserve">Esta hoja se llena sola. Es la lista que te llevas al proveedor.</t>
  </si>
  <si>
    <t xml:space="preserve">Cuánto pedir</t>
  </si>
  <si>
    <t xml:space="preserve">«Cuánto pedir» sugiere dejarte con el doble del mínimo. Ajusta el número si tu proveedor vende por caja.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</si>
</sst>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B5C"/>
      <name val="Arial"/>
      <family val="0"/>
      <charset val="1"/>
    </font>
    <font>
      <sz val="10"/>
      <color rgb="FF5A6472"/>
      <name val="Arial"/>
      <family val="0"/>
      <charset val="1"/>
    </font>
    <font>
      <b val="true"/>
      <sz val="11"/>
      <color rgb="FF0B3B5C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A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B5C"/>
        <bgColor rgb="FF333399"/>
      </patternFill>
    </fill>
    <fill>
      <patternFill patternType="solid">
        <fgColor rgb="FFFFF9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E2"/>
      </left>
      <right style="thin">
        <color rgb="FFD8DCE2"/>
      </right>
      <top style="thin">
        <color rgb="FFD8DCE2"/>
      </top>
      <bottom style="thin">
        <color rgb="FFD8DC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B3B5C"/>
        <sz val="10"/>
      </font>
      <fill>
        <patternFill>
          <bgColor rgb="FFF2994A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8877F"/>
        </patternFill>
      </fill>
    </dxf>
    <dxf>
      <font>
        <name val="Arial"/>
        <charset val="1"/>
        <family val="0"/>
        <color rgb="FF0B3B5C"/>
        <sz val="10"/>
      </font>
      <fill>
        <patternFill>
          <bgColor rgb="FF7FE8B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3"/>
      <rgbColor rgb="FFCCFFFF"/>
      <rgbColor rgb="FF660066"/>
      <rgbColor rgb="FFE8877F"/>
      <rgbColor rgb="FF0066CC"/>
      <rgbColor rgb="FFD8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FE8B0"/>
      <rgbColor rgb="FFFF99CC"/>
      <rgbColor rgb="FFCC99FF"/>
      <rgbColor rgb="FFFFCC99"/>
      <rgbColor rgb="FF3366FF"/>
      <rgbColor rgb="FF33CCCC"/>
      <rgbColor rgb="FF99CC00"/>
      <rgbColor rgb="FFFFCC00"/>
      <rgbColor rgb="FFF2994A"/>
      <rgbColor rgb="FFFF6600"/>
      <rgbColor rgb="FF5A6472"/>
      <rgbColor rgb="FF969696"/>
      <rgbColor rgb="FF0B3B5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994A"/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/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4" t="s">
        <v>9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4" t="s">
        <v>10</v>
      </c>
    </row>
    <row r="18" customFormat="false" ht="15" hidden="false" customHeight="false" outlineLevel="0" collapsed="false">
      <c r="B18" s="4" t="s">
        <v>11</v>
      </c>
    </row>
    <row r="19" customFormat="false" ht="15" hidden="false" customHeight="false" outlineLevel="0" collapsed="false">
      <c r="B19" s="4"/>
    </row>
    <row r="20" customFormat="false" ht="15" hidden="false" customHeight="false" outlineLevel="0" collapsed="false">
      <c r="B20" s="3" t="s">
        <v>12</v>
      </c>
    </row>
    <row r="21" customFormat="false" ht="15" hidden="false" customHeight="false" outlineLevel="0" collapsed="false">
      <c r="B21" s="4" t="s">
        <v>13</v>
      </c>
    </row>
    <row r="22" customFormat="false" ht="15" hidden="false" customHeight="false" outlineLevel="0" collapsed="false">
      <c r="B22" s="4"/>
    </row>
    <row r="23" customFormat="false" ht="15" hidden="false" customHeight="false" outlineLevel="0" collapsed="false">
      <c r="B23" s="3" t="s">
        <v>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B5C"/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customFormat="false" ht="15" hidden="false" customHeight="false" outlineLevel="0" collapsed="false">
      <c r="A5" s="6" t="s">
        <v>24</v>
      </c>
      <c r="B5" s="6" t="s">
        <v>25</v>
      </c>
      <c r="C5" s="7" t="n">
        <v>48</v>
      </c>
      <c r="D5" s="7" t="n">
        <v>12</v>
      </c>
      <c r="E5" s="8" t="n">
        <v>850</v>
      </c>
      <c r="F5" s="9" t="n">
        <f aca="false">IF($A5="","",$C5+SUMIFS(Movimientos!$D$5:$D$504,Movimientos!$B$5:$B$504,$A5,Movimientos!$C$5:$C$504,"Entrada")-SUMIFS(Movimientos!$D$5:$D$504,Movimientos!$B$5:$B$504,$A5,Movimientos!$C$5:$C$504,"Salida"))</f>
        <v>54</v>
      </c>
      <c r="G5" s="10" t="str">
        <f aca="false">IF($A5="","",IF($F5&lt;=0,"SIN STOCK",IF($F5&lt;=$D5,"REPONER","OK")))</f>
        <v>OK</v>
      </c>
    </row>
    <row r="6" customFormat="false" ht="15" hidden="false" customHeight="false" outlineLevel="0" collapsed="false">
      <c r="A6" s="6" t="s">
        <v>26</v>
      </c>
      <c r="B6" s="6" t="s">
        <v>25</v>
      </c>
      <c r="C6" s="7" t="n">
        <v>24</v>
      </c>
      <c r="D6" s="7" t="n">
        <v>6</v>
      </c>
      <c r="E6" s="8" t="n">
        <v>1100</v>
      </c>
      <c r="F6" s="9" t="n">
        <f aca="false">IF($A6="","",$C6+SUMIFS(Movimientos!$D$5:$D$504,Movimientos!$B$5:$B$504,$A6,Movimientos!$C$5:$C$504,"Entrada")-SUMIFS(Movimientos!$D$5:$D$504,Movimientos!$B$5:$B$504,$A6,Movimientos!$C$5:$C$504,"Salida"))</f>
        <v>24</v>
      </c>
      <c r="G6" s="10" t="str">
        <f aca="false">IF($A6="","",IF($F6&lt;=0,"SIN STOCK",IF($F6&lt;=$D6,"REPONER","OK")))</f>
        <v>OK</v>
      </c>
    </row>
    <row r="7" customFormat="false" ht="15" hidden="false" customHeight="false" outlineLevel="0" collapsed="false">
      <c r="A7" s="6" t="s">
        <v>27</v>
      </c>
      <c r="B7" s="6" t="s">
        <v>28</v>
      </c>
      <c r="C7" s="7" t="n">
        <v>30</v>
      </c>
      <c r="D7" s="7" t="n">
        <v>8</v>
      </c>
      <c r="E7" s="8" t="n">
        <v>1250</v>
      </c>
      <c r="F7" s="9" t="n">
        <f aca="false">IF($A7="","",$C7+SUMIFS(Movimientos!$D$5:$D$504,Movimientos!$B$5:$B$504,$A7,Movimientos!$C$5:$C$504,"Entrada")-SUMIFS(Movimientos!$D$5:$D$504,Movimientos!$B$5:$B$504,$A7,Movimientos!$C$5:$C$504,"Salida"))</f>
        <v>30</v>
      </c>
      <c r="G7" s="10" t="str">
        <f aca="false">IF($A7="","",IF($F7&lt;=0,"SIN STOCK",IF($F7&lt;=$D7,"REPONER","OK")))</f>
        <v>OK</v>
      </c>
    </row>
    <row r="8" customFormat="false" ht="15" hidden="false" customHeight="false" outlineLevel="0" collapsed="false">
      <c r="A8" s="6" t="s">
        <v>29</v>
      </c>
      <c r="B8" s="6" t="s">
        <v>30</v>
      </c>
      <c r="C8" s="7" t="n">
        <v>2</v>
      </c>
      <c r="D8" s="7" t="n">
        <v>6</v>
      </c>
      <c r="E8" s="8" t="n">
        <v>1900</v>
      </c>
      <c r="F8" s="9" t="n">
        <f aca="false">IF($A8="","",$C8+SUMIFS(Movimientos!$D$5:$D$504,Movimientos!$B$5:$B$504,$A8,Movimientos!$C$5:$C$504,"Entrada")-SUMIFS(Movimientos!$D$5:$D$504,Movimientos!$B$5:$B$504,$A8,Movimientos!$C$5:$C$504,"Salida"))</f>
        <v>2</v>
      </c>
      <c r="G8" s="10" t="str">
        <f aca="false">IF($A8="","",IF($F8&lt;=0,"SIN STOCK",IF($F8&lt;=$D8,"REPONER","OK")))</f>
        <v>REPONER</v>
      </c>
    </row>
    <row r="9" customFormat="false" ht="15" hidden="false" customHeight="false" outlineLevel="0" collapsed="false">
      <c r="A9" s="6"/>
      <c r="B9" s="6"/>
      <c r="C9" s="7"/>
      <c r="D9" s="7"/>
      <c r="E9" s="8"/>
      <c r="F9" s="9" t="str">
        <f aca="false">IF($A9="","",$C9+SUMIFS(Movimientos!$D$5:$D$504,Movimientos!$B$5:$B$504,$A9,Movimientos!$C$5:$C$504,"Entrada")-SUMIFS(Movimientos!$D$5:$D$504,Movimientos!$B$5:$B$504,$A9,Movimientos!$C$5:$C$504,"Salida"))</f>
        <v/>
      </c>
      <c r="G9" s="10" t="str">
        <f aca="false">IF($A9="","",IF($F9&lt;=0,"SIN STOCK",IF($F9&lt;=$D9,"REPONER","OK")))</f>
        <v/>
      </c>
    </row>
    <row r="10" customFormat="false" ht="15" hidden="false" customHeight="false" outlineLevel="0" collapsed="false">
      <c r="A10" s="6"/>
      <c r="B10" s="6"/>
      <c r="C10" s="7"/>
      <c r="D10" s="7"/>
      <c r="E10" s="8"/>
      <c r="F10" s="9" t="str">
        <f aca="false">IF($A10="","",$C10+SUMIFS(Movimientos!$D$5:$D$504,Movimientos!$B$5:$B$504,$A10,Movimientos!$C$5:$C$504,"Entrada")-SUMIFS(Movimientos!$D$5:$D$504,Movimientos!$B$5:$B$504,$A10,Movimientos!$C$5:$C$504,"Salida"))</f>
        <v/>
      </c>
      <c r="G10" s="10" t="str">
        <f aca="false">IF($A10="","",IF($F10&lt;=0,"SIN STOCK",IF($F10&lt;=$D10,"REPONER","OK")))</f>
        <v/>
      </c>
    </row>
    <row r="11" customFormat="false" ht="15" hidden="false" customHeight="false" outlineLevel="0" collapsed="false">
      <c r="A11" s="6"/>
      <c r="B11" s="6"/>
      <c r="C11" s="7"/>
      <c r="D11" s="7"/>
      <c r="E11" s="8"/>
      <c r="F11" s="9" t="str">
        <f aca="false">IF($A11="","",$C11+SUMIFS(Movimientos!$D$5:$D$504,Movimientos!$B$5:$B$504,$A11,Movimientos!$C$5:$C$504,"Entrada")-SUMIFS(Movimientos!$D$5:$D$504,Movimientos!$B$5:$B$504,$A11,Movimientos!$C$5:$C$504,"Salida"))</f>
        <v/>
      </c>
      <c r="G11" s="10" t="str">
        <f aca="false">IF($A11="","",IF($F11&lt;=0,"SIN STOCK",IF($F11&lt;=$D11,"REPONER","OK")))</f>
        <v/>
      </c>
    </row>
    <row r="12" customFormat="false" ht="15" hidden="false" customHeight="false" outlineLevel="0" collapsed="false">
      <c r="A12" s="6"/>
      <c r="B12" s="6"/>
      <c r="C12" s="7"/>
      <c r="D12" s="7"/>
      <c r="E12" s="8"/>
      <c r="F12" s="9" t="str">
        <f aca="false">IF($A12="","",$C12+SUMIFS(Movimientos!$D$5:$D$504,Movimientos!$B$5:$B$504,$A12,Movimientos!$C$5:$C$504,"Entrada")-SUMIFS(Movimientos!$D$5:$D$504,Movimientos!$B$5:$B$504,$A12,Movimientos!$C$5:$C$504,"Salida"))</f>
        <v/>
      </c>
      <c r="G12" s="10" t="str">
        <f aca="false">IF($A12="","",IF($F12&lt;=0,"SIN STOCK",IF($F12&lt;=$D12,"REPONER","OK")))</f>
        <v/>
      </c>
    </row>
    <row r="13" customFormat="false" ht="15" hidden="false" customHeight="false" outlineLevel="0" collapsed="false">
      <c r="A13" s="6"/>
      <c r="B13" s="6"/>
      <c r="C13" s="7"/>
      <c r="D13" s="7"/>
      <c r="E13" s="8"/>
      <c r="F13" s="9" t="str">
        <f aca="false">IF($A13="","",$C13+SUMIFS(Movimientos!$D$5:$D$504,Movimientos!$B$5:$B$504,$A13,Movimientos!$C$5:$C$504,"Entrada")-SUMIFS(Movimientos!$D$5:$D$504,Movimientos!$B$5:$B$504,$A13,Movimientos!$C$5:$C$504,"Salida"))</f>
        <v/>
      </c>
      <c r="G13" s="10" t="str">
        <f aca="false">IF($A13="","",IF($F13&lt;=0,"SIN STOCK",IF($F13&lt;=$D13,"REPONER","OK")))</f>
        <v/>
      </c>
    </row>
    <row r="14" customFormat="false" ht="15" hidden="false" customHeight="false" outlineLevel="0" collapsed="false">
      <c r="A14" s="6"/>
      <c r="B14" s="6"/>
      <c r="C14" s="7"/>
      <c r="D14" s="7"/>
      <c r="E14" s="8"/>
      <c r="F14" s="9" t="str">
        <f aca="false">IF($A14="","",$C14+SUMIFS(Movimientos!$D$5:$D$504,Movimientos!$B$5:$B$504,$A14,Movimientos!$C$5:$C$504,"Entrada")-SUMIFS(Movimientos!$D$5:$D$504,Movimientos!$B$5:$B$504,$A14,Movimientos!$C$5:$C$504,"Salida"))</f>
        <v/>
      </c>
      <c r="G14" s="10" t="str">
        <f aca="false">IF($A14="","",IF($F14&lt;=0,"SIN STOCK",IF($F14&lt;=$D14,"REPONER","OK")))</f>
        <v/>
      </c>
    </row>
    <row r="15" customFormat="false" ht="15" hidden="false" customHeight="false" outlineLevel="0" collapsed="false">
      <c r="A15" s="6"/>
      <c r="B15" s="6"/>
      <c r="C15" s="7"/>
      <c r="D15" s="7"/>
      <c r="E15" s="8"/>
      <c r="F15" s="9" t="str">
        <f aca="false">IF($A15="","",$C15+SUMIFS(Movimientos!$D$5:$D$504,Movimientos!$B$5:$B$504,$A15,Movimientos!$C$5:$C$504,"Entrada")-SUMIFS(Movimientos!$D$5:$D$504,Movimientos!$B$5:$B$504,$A15,Movimientos!$C$5:$C$504,"Salida"))</f>
        <v/>
      </c>
      <c r="G15" s="10" t="str">
        <f aca="false">IF($A15="","",IF($F15&lt;=0,"SIN STOCK",IF($F15&lt;=$D15,"REPONER","OK")))</f>
        <v/>
      </c>
    </row>
    <row r="16" customFormat="false" ht="15" hidden="false" customHeight="false" outlineLevel="0" collapsed="false">
      <c r="A16" s="6"/>
      <c r="B16" s="6"/>
      <c r="C16" s="7"/>
      <c r="D16" s="7"/>
      <c r="E16" s="8"/>
      <c r="F16" s="9" t="str">
        <f aca="false">IF($A16="","",$C16+SUMIFS(Movimientos!$D$5:$D$504,Movimientos!$B$5:$B$504,$A16,Movimientos!$C$5:$C$504,"Entrada")-SUMIFS(Movimientos!$D$5:$D$504,Movimientos!$B$5:$B$504,$A16,Movimientos!$C$5:$C$504,"Salida"))</f>
        <v/>
      </c>
      <c r="G16" s="10" t="str">
        <f aca="false">IF($A16="","",IF($F16&lt;=0,"SIN STOCK",IF($F16&lt;=$D16,"REPONER","OK")))</f>
        <v/>
      </c>
    </row>
    <row r="17" customFormat="false" ht="15" hidden="false" customHeight="false" outlineLevel="0" collapsed="false">
      <c r="A17" s="6"/>
      <c r="B17" s="6"/>
      <c r="C17" s="7"/>
      <c r="D17" s="7"/>
      <c r="E17" s="8"/>
      <c r="F17" s="9" t="str">
        <f aca="false">IF($A17="","",$C17+SUMIFS(Movimientos!$D$5:$D$504,Movimientos!$B$5:$B$504,$A17,Movimientos!$C$5:$C$504,"Entrada")-SUMIFS(Movimientos!$D$5:$D$504,Movimientos!$B$5:$B$504,$A17,Movimientos!$C$5:$C$504,"Salida"))</f>
        <v/>
      </c>
      <c r="G17" s="10" t="str">
        <f aca="false">IF($A17="","",IF($F17&lt;=0,"SIN STOCK",IF($F17&lt;=$D17,"REPONER","OK")))</f>
        <v/>
      </c>
    </row>
    <row r="18" customFormat="false" ht="15" hidden="false" customHeight="false" outlineLevel="0" collapsed="false">
      <c r="A18" s="6"/>
      <c r="B18" s="6"/>
      <c r="C18" s="7"/>
      <c r="D18" s="7"/>
      <c r="E18" s="8"/>
      <c r="F18" s="9" t="str">
        <f aca="false">IF($A18="","",$C18+SUMIFS(Movimientos!$D$5:$D$504,Movimientos!$B$5:$B$504,$A18,Movimientos!$C$5:$C$504,"Entrada")-SUMIFS(Movimientos!$D$5:$D$504,Movimientos!$B$5:$B$504,$A18,Movimientos!$C$5:$C$504,"Salida"))</f>
        <v/>
      </c>
      <c r="G18" s="10" t="str">
        <f aca="false">IF($A18="","",IF($F18&lt;=0,"SIN STOCK",IF($F18&lt;=$D18,"REPONER","OK")))</f>
        <v/>
      </c>
    </row>
    <row r="19" customFormat="false" ht="15" hidden="false" customHeight="false" outlineLevel="0" collapsed="false">
      <c r="A19" s="6"/>
      <c r="B19" s="6"/>
      <c r="C19" s="7"/>
      <c r="D19" s="7"/>
      <c r="E19" s="8"/>
      <c r="F19" s="9" t="str">
        <f aca="false">IF($A19="","",$C19+SUMIFS(Movimientos!$D$5:$D$504,Movimientos!$B$5:$B$504,$A19,Movimientos!$C$5:$C$504,"Entrada")-SUMIFS(Movimientos!$D$5:$D$504,Movimientos!$B$5:$B$504,$A19,Movimientos!$C$5:$C$504,"Salida"))</f>
        <v/>
      </c>
      <c r="G19" s="10" t="str">
        <f aca="false">IF($A19="","",IF($F19&lt;=0,"SIN STOCK",IF($F19&lt;=$D19,"REPONER","OK")))</f>
        <v/>
      </c>
    </row>
    <row r="20" customFormat="false" ht="15" hidden="false" customHeight="false" outlineLevel="0" collapsed="false">
      <c r="A20" s="6"/>
      <c r="B20" s="6"/>
      <c r="C20" s="7"/>
      <c r="D20" s="7"/>
      <c r="E20" s="8"/>
      <c r="F20" s="9" t="str">
        <f aca="false">IF($A20="","",$C20+SUMIFS(Movimientos!$D$5:$D$504,Movimientos!$B$5:$B$504,$A20,Movimientos!$C$5:$C$504,"Entrada")-SUMIFS(Movimientos!$D$5:$D$504,Movimientos!$B$5:$B$504,$A20,Movimientos!$C$5:$C$504,"Salida"))</f>
        <v/>
      </c>
      <c r="G20" s="10" t="str">
        <f aca="false">IF($A20="","",IF($F20&lt;=0,"SIN STOCK",IF($F20&lt;=$D20,"REPONER","OK")))</f>
        <v/>
      </c>
    </row>
    <row r="21" customFormat="false" ht="15" hidden="false" customHeight="false" outlineLevel="0" collapsed="false">
      <c r="A21" s="6"/>
      <c r="B21" s="6"/>
      <c r="C21" s="7"/>
      <c r="D21" s="7"/>
      <c r="E21" s="8"/>
      <c r="F21" s="9" t="str">
        <f aca="false">IF($A21="","",$C21+SUMIFS(Movimientos!$D$5:$D$504,Movimientos!$B$5:$B$504,$A21,Movimientos!$C$5:$C$504,"Entrada")-SUMIFS(Movimientos!$D$5:$D$504,Movimientos!$B$5:$B$504,$A21,Movimientos!$C$5:$C$504,"Salida"))</f>
        <v/>
      </c>
      <c r="G21" s="10" t="str">
        <f aca="false">IF($A21="","",IF($F21&lt;=0,"SIN STOCK",IF($F21&lt;=$D21,"REPONER","OK")))</f>
        <v/>
      </c>
    </row>
    <row r="22" customFormat="false" ht="15" hidden="false" customHeight="false" outlineLevel="0" collapsed="false">
      <c r="A22" s="6"/>
      <c r="B22" s="6"/>
      <c r="C22" s="7"/>
      <c r="D22" s="7"/>
      <c r="E22" s="8"/>
      <c r="F22" s="9" t="str">
        <f aca="false">IF($A22="","",$C22+SUMIFS(Movimientos!$D$5:$D$504,Movimientos!$B$5:$B$504,$A22,Movimientos!$C$5:$C$504,"Entrada")-SUMIFS(Movimientos!$D$5:$D$504,Movimientos!$B$5:$B$504,$A22,Movimientos!$C$5:$C$504,"Salida"))</f>
        <v/>
      </c>
      <c r="G22" s="10" t="str">
        <f aca="false">IF($A22="","",IF($F22&lt;=0,"SIN STOCK",IF($F22&lt;=$D22,"REPONER","OK")))</f>
        <v/>
      </c>
    </row>
    <row r="23" customFormat="false" ht="15" hidden="false" customHeight="false" outlineLevel="0" collapsed="false">
      <c r="A23" s="6"/>
      <c r="B23" s="6"/>
      <c r="C23" s="7"/>
      <c r="D23" s="7"/>
      <c r="E23" s="8"/>
      <c r="F23" s="9" t="str">
        <f aca="false">IF($A23="","",$C23+SUMIFS(Movimientos!$D$5:$D$504,Movimientos!$B$5:$B$504,$A23,Movimientos!$C$5:$C$504,"Entrada")-SUMIFS(Movimientos!$D$5:$D$504,Movimientos!$B$5:$B$504,$A23,Movimientos!$C$5:$C$504,"Salida"))</f>
        <v/>
      </c>
      <c r="G23" s="10" t="str">
        <f aca="false">IF($A23="","",IF($F23&lt;=0,"SIN STOCK",IF($F23&lt;=$D23,"REPONER","OK")))</f>
        <v/>
      </c>
    </row>
    <row r="24" customFormat="false" ht="15" hidden="false" customHeight="false" outlineLevel="0" collapsed="false">
      <c r="A24" s="6"/>
      <c r="B24" s="6"/>
      <c r="C24" s="7"/>
      <c r="D24" s="7"/>
      <c r="E24" s="8"/>
      <c r="F24" s="9" t="str">
        <f aca="false">IF($A24="","",$C24+SUMIFS(Movimientos!$D$5:$D$504,Movimientos!$B$5:$B$504,$A24,Movimientos!$C$5:$C$504,"Entrada")-SUMIFS(Movimientos!$D$5:$D$504,Movimientos!$B$5:$B$504,$A24,Movimientos!$C$5:$C$504,"Salida"))</f>
        <v/>
      </c>
      <c r="G24" s="10" t="str">
        <f aca="false">IF($A24="","",IF($F24&lt;=0,"SIN STOCK",IF($F24&lt;=$D24,"REPONER","OK")))</f>
        <v/>
      </c>
    </row>
    <row r="25" customFormat="false" ht="15" hidden="false" customHeight="false" outlineLevel="0" collapsed="false">
      <c r="A25" s="6"/>
      <c r="B25" s="6"/>
      <c r="C25" s="7"/>
      <c r="D25" s="7"/>
      <c r="E25" s="8"/>
      <c r="F25" s="9" t="str">
        <f aca="false">IF($A25="","",$C25+SUMIFS(Movimientos!$D$5:$D$504,Movimientos!$B$5:$B$504,$A25,Movimientos!$C$5:$C$504,"Entrada")-SUMIFS(Movimientos!$D$5:$D$504,Movimientos!$B$5:$B$504,$A25,Movimientos!$C$5:$C$504,"Salida"))</f>
        <v/>
      </c>
      <c r="G25" s="10" t="str">
        <f aca="false">IF($A25="","",IF($F25&lt;=0,"SIN STOCK",IF($F25&lt;=$D25,"REPONER","OK")))</f>
        <v/>
      </c>
    </row>
    <row r="26" customFormat="false" ht="15" hidden="false" customHeight="false" outlineLevel="0" collapsed="false">
      <c r="A26" s="6"/>
      <c r="B26" s="6"/>
      <c r="C26" s="7"/>
      <c r="D26" s="7"/>
      <c r="E26" s="8"/>
      <c r="F26" s="9" t="str">
        <f aca="false">IF($A26="","",$C26+SUMIFS(Movimientos!$D$5:$D$504,Movimientos!$B$5:$B$504,$A26,Movimientos!$C$5:$C$504,"Entrada")-SUMIFS(Movimientos!$D$5:$D$504,Movimientos!$B$5:$B$504,$A26,Movimientos!$C$5:$C$504,"Salida"))</f>
        <v/>
      </c>
      <c r="G26" s="10" t="str">
        <f aca="false">IF($A26="","",IF($F26&lt;=0,"SIN STOCK",IF($F26&lt;=$D26,"REPONER","OK")))</f>
        <v/>
      </c>
    </row>
    <row r="27" customFormat="false" ht="15" hidden="false" customHeight="false" outlineLevel="0" collapsed="false">
      <c r="A27" s="6"/>
      <c r="B27" s="6"/>
      <c r="C27" s="7"/>
      <c r="D27" s="7"/>
      <c r="E27" s="8"/>
      <c r="F27" s="9" t="str">
        <f aca="false">IF($A27="","",$C27+SUMIFS(Movimientos!$D$5:$D$504,Movimientos!$B$5:$B$504,$A27,Movimientos!$C$5:$C$504,"Entrada")-SUMIFS(Movimientos!$D$5:$D$504,Movimientos!$B$5:$B$504,$A27,Movimientos!$C$5:$C$504,"Salida"))</f>
        <v/>
      </c>
      <c r="G27" s="10" t="str">
        <f aca="false">IF($A27="","",IF($F27&lt;=0,"SIN STOCK",IF($F27&lt;=$D27,"REPONER","OK")))</f>
        <v/>
      </c>
    </row>
    <row r="28" customFormat="false" ht="15" hidden="false" customHeight="false" outlineLevel="0" collapsed="false">
      <c r="A28" s="6"/>
      <c r="B28" s="6"/>
      <c r="C28" s="7"/>
      <c r="D28" s="7"/>
      <c r="E28" s="8"/>
      <c r="F28" s="9" t="str">
        <f aca="false">IF($A28="","",$C28+SUMIFS(Movimientos!$D$5:$D$504,Movimientos!$B$5:$B$504,$A28,Movimientos!$C$5:$C$504,"Entrada")-SUMIFS(Movimientos!$D$5:$D$504,Movimientos!$B$5:$B$504,$A28,Movimientos!$C$5:$C$504,"Salida"))</f>
        <v/>
      </c>
      <c r="G28" s="10" t="str">
        <f aca="false">IF($A28="","",IF($F28&lt;=0,"SIN STOCK",IF($F28&lt;=$D28,"REPONER","OK")))</f>
        <v/>
      </c>
    </row>
    <row r="29" customFormat="false" ht="15" hidden="false" customHeight="false" outlineLevel="0" collapsed="false">
      <c r="A29" s="6"/>
      <c r="B29" s="6"/>
      <c r="C29" s="7"/>
      <c r="D29" s="7"/>
      <c r="E29" s="8"/>
      <c r="F29" s="9" t="str">
        <f aca="false">IF($A29="","",$C29+SUMIFS(Movimientos!$D$5:$D$504,Movimientos!$B$5:$B$504,$A29,Movimientos!$C$5:$C$504,"Entrada")-SUMIFS(Movimientos!$D$5:$D$504,Movimientos!$B$5:$B$504,$A29,Movimientos!$C$5:$C$504,"Salida"))</f>
        <v/>
      </c>
      <c r="G29" s="10" t="str">
        <f aca="false">IF($A29="","",IF($F29&lt;=0,"SIN STOCK",IF($F29&lt;=$D29,"REPONER","OK")))</f>
        <v/>
      </c>
    </row>
    <row r="30" customFormat="false" ht="15" hidden="false" customHeight="false" outlineLevel="0" collapsed="false">
      <c r="A30" s="6"/>
      <c r="B30" s="6"/>
      <c r="C30" s="7"/>
      <c r="D30" s="7"/>
      <c r="E30" s="8"/>
      <c r="F30" s="9" t="str">
        <f aca="false">IF($A30="","",$C30+SUMIFS(Movimientos!$D$5:$D$504,Movimientos!$B$5:$B$504,$A30,Movimientos!$C$5:$C$504,"Entrada")-SUMIFS(Movimientos!$D$5:$D$504,Movimientos!$B$5:$B$504,$A30,Movimientos!$C$5:$C$504,"Salida"))</f>
        <v/>
      </c>
      <c r="G30" s="10" t="str">
        <f aca="false">IF($A30="","",IF($F30&lt;=0,"SIN STOCK",IF($F30&lt;=$D30,"REPONER","OK")))</f>
        <v/>
      </c>
    </row>
    <row r="31" customFormat="false" ht="15" hidden="false" customHeight="false" outlineLevel="0" collapsed="false">
      <c r="A31" s="6"/>
      <c r="B31" s="6"/>
      <c r="C31" s="7"/>
      <c r="D31" s="7"/>
      <c r="E31" s="8"/>
      <c r="F31" s="9" t="str">
        <f aca="false">IF($A31="","",$C31+SUMIFS(Movimientos!$D$5:$D$504,Movimientos!$B$5:$B$504,$A31,Movimientos!$C$5:$C$504,"Entrada")-SUMIFS(Movimientos!$D$5:$D$504,Movimientos!$B$5:$B$504,$A31,Movimientos!$C$5:$C$504,"Salida"))</f>
        <v/>
      </c>
      <c r="G31" s="10" t="str">
        <f aca="false">IF($A31="","",IF($F31&lt;=0,"SIN STOCK",IF($F31&lt;=$D31,"REPONER","OK")))</f>
        <v/>
      </c>
    </row>
    <row r="32" customFormat="false" ht="15" hidden="false" customHeight="false" outlineLevel="0" collapsed="false">
      <c r="A32" s="6"/>
      <c r="B32" s="6"/>
      <c r="C32" s="7"/>
      <c r="D32" s="7"/>
      <c r="E32" s="8"/>
      <c r="F32" s="9" t="str">
        <f aca="false">IF($A32="","",$C32+SUMIFS(Movimientos!$D$5:$D$504,Movimientos!$B$5:$B$504,$A32,Movimientos!$C$5:$C$504,"Entrada")-SUMIFS(Movimientos!$D$5:$D$504,Movimientos!$B$5:$B$504,$A32,Movimientos!$C$5:$C$504,"Salida"))</f>
        <v/>
      </c>
      <c r="G32" s="10" t="str">
        <f aca="false">IF($A32="","",IF($F32&lt;=0,"SIN STOCK",IF($F32&lt;=$D32,"REPONER","OK")))</f>
        <v/>
      </c>
    </row>
    <row r="33" customFormat="false" ht="15" hidden="false" customHeight="false" outlineLevel="0" collapsed="false">
      <c r="A33" s="6"/>
      <c r="B33" s="6"/>
      <c r="C33" s="7"/>
      <c r="D33" s="7"/>
      <c r="E33" s="8"/>
      <c r="F33" s="9" t="str">
        <f aca="false">IF($A33="","",$C33+SUMIFS(Movimientos!$D$5:$D$504,Movimientos!$B$5:$B$504,$A33,Movimientos!$C$5:$C$504,"Entrada")-SUMIFS(Movimientos!$D$5:$D$504,Movimientos!$B$5:$B$504,$A33,Movimientos!$C$5:$C$504,"Salida"))</f>
        <v/>
      </c>
      <c r="G33" s="10" t="str">
        <f aca="false">IF($A33="","",IF($F33&lt;=0,"SIN STOCK",IF($F33&lt;=$D33,"REPONER","OK")))</f>
        <v/>
      </c>
    </row>
    <row r="34" customFormat="false" ht="15" hidden="false" customHeight="false" outlineLevel="0" collapsed="false">
      <c r="A34" s="6"/>
      <c r="B34" s="6"/>
      <c r="C34" s="7"/>
      <c r="D34" s="7"/>
      <c r="E34" s="8"/>
      <c r="F34" s="9" t="str">
        <f aca="false">IF($A34="","",$C34+SUMIFS(Movimientos!$D$5:$D$504,Movimientos!$B$5:$B$504,$A34,Movimientos!$C$5:$C$504,"Entrada")-SUMIFS(Movimientos!$D$5:$D$504,Movimientos!$B$5:$B$504,$A34,Movimientos!$C$5:$C$504,"Salida"))</f>
        <v/>
      </c>
      <c r="G34" s="10" t="str">
        <f aca="false">IF($A34="","",IF($F34&lt;=0,"SIN STOCK",IF($F34&lt;=$D34,"REPONER","OK")))</f>
        <v/>
      </c>
    </row>
    <row r="35" customFormat="false" ht="15" hidden="false" customHeight="false" outlineLevel="0" collapsed="false">
      <c r="A35" s="6"/>
      <c r="B35" s="6"/>
      <c r="C35" s="7"/>
      <c r="D35" s="7"/>
      <c r="E35" s="8"/>
      <c r="F35" s="9" t="str">
        <f aca="false">IF($A35="","",$C35+SUMIFS(Movimientos!$D$5:$D$504,Movimientos!$B$5:$B$504,$A35,Movimientos!$C$5:$C$504,"Entrada")-SUMIFS(Movimientos!$D$5:$D$504,Movimientos!$B$5:$B$504,$A35,Movimientos!$C$5:$C$504,"Salida"))</f>
        <v/>
      </c>
      <c r="G35" s="10" t="str">
        <f aca="false">IF($A35="","",IF($F35&lt;=0,"SIN STOCK",IF($F35&lt;=$D35,"REPONER","OK")))</f>
        <v/>
      </c>
    </row>
    <row r="36" customFormat="false" ht="15" hidden="false" customHeight="false" outlineLevel="0" collapsed="false">
      <c r="A36" s="6"/>
      <c r="B36" s="6"/>
      <c r="C36" s="7"/>
      <c r="D36" s="7"/>
      <c r="E36" s="8"/>
      <c r="F36" s="9" t="str">
        <f aca="false">IF($A36="","",$C36+SUMIFS(Movimientos!$D$5:$D$504,Movimientos!$B$5:$B$504,$A36,Movimientos!$C$5:$C$504,"Entrada")-SUMIFS(Movimientos!$D$5:$D$504,Movimientos!$B$5:$B$504,$A36,Movimientos!$C$5:$C$504,"Salida"))</f>
        <v/>
      </c>
      <c r="G36" s="10" t="str">
        <f aca="false">IF($A36="","",IF($F36&lt;=0,"SIN STOCK",IF($F36&lt;=$D36,"REPONER","OK")))</f>
        <v/>
      </c>
    </row>
    <row r="37" customFormat="false" ht="15" hidden="false" customHeight="false" outlineLevel="0" collapsed="false">
      <c r="A37" s="6"/>
      <c r="B37" s="6"/>
      <c r="C37" s="7"/>
      <c r="D37" s="7"/>
      <c r="E37" s="8"/>
      <c r="F37" s="9" t="str">
        <f aca="false">IF($A37="","",$C37+SUMIFS(Movimientos!$D$5:$D$504,Movimientos!$B$5:$B$504,$A37,Movimientos!$C$5:$C$504,"Entrada")-SUMIFS(Movimientos!$D$5:$D$504,Movimientos!$B$5:$B$504,$A37,Movimientos!$C$5:$C$504,"Salida"))</f>
        <v/>
      </c>
      <c r="G37" s="10" t="str">
        <f aca="false">IF($A37="","",IF($F37&lt;=0,"SIN STOCK",IF($F37&lt;=$D37,"REPONER","OK")))</f>
        <v/>
      </c>
    </row>
    <row r="38" customFormat="false" ht="15" hidden="false" customHeight="false" outlineLevel="0" collapsed="false">
      <c r="A38" s="6"/>
      <c r="B38" s="6"/>
      <c r="C38" s="7"/>
      <c r="D38" s="7"/>
      <c r="E38" s="8"/>
      <c r="F38" s="9" t="str">
        <f aca="false">IF($A38="","",$C38+SUMIFS(Movimientos!$D$5:$D$504,Movimientos!$B$5:$B$504,$A38,Movimientos!$C$5:$C$504,"Entrada")-SUMIFS(Movimientos!$D$5:$D$504,Movimientos!$B$5:$B$504,$A38,Movimientos!$C$5:$C$504,"Salida"))</f>
        <v/>
      </c>
      <c r="G38" s="10" t="str">
        <f aca="false">IF($A38="","",IF($F38&lt;=0,"SIN STOCK",IF($F38&lt;=$D38,"REPONER","OK")))</f>
        <v/>
      </c>
    </row>
    <row r="39" customFormat="false" ht="15" hidden="false" customHeight="false" outlineLevel="0" collapsed="false">
      <c r="A39" s="6"/>
      <c r="B39" s="6"/>
      <c r="C39" s="7"/>
      <c r="D39" s="7"/>
      <c r="E39" s="8"/>
      <c r="F39" s="9" t="str">
        <f aca="false">IF($A39="","",$C39+SUMIFS(Movimientos!$D$5:$D$504,Movimientos!$B$5:$B$504,$A39,Movimientos!$C$5:$C$504,"Entrada")-SUMIFS(Movimientos!$D$5:$D$504,Movimientos!$B$5:$B$504,$A39,Movimientos!$C$5:$C$504,"Salida"))</f>
        <v/>
      </c>
      <c r="G39" s="10" t="str">
        <f aca="false">IF($A39="","",IF($F39&lt;=0,"SIN STOCK",IF($F39&lt;=$D39,"REPONER","OK")))</f>
        <v/>
      </c>
    </row>
    <row r="40" customFormat="false" ht="15" hidden="false" customHeight="false" outlineLevel="0" collapsed="false">
      <c r="A40" s="6"/>
      <c r="B40" s="6"/>
      <c r="C40" s="7"/>
      <c r="D40" s="7"/>
      <c r="E40" s="8"/>
      <c r="F40" s="9" t="str">
        <f aca="false">IF($A40="","",$C40+SUMIFS(Movimientos!$D$5:$D$504,Movimientos!$B$5:$B$504,$A40,Movimientos!$C$5:$C$504,"Entrada")-SUMIFS(Movimientos!$D$5:$D$504,Movimientos!$B$5:$B$504,$A40,Movimientos!$C$5:$C$504,"Salida"))</f>
        <v/>
      </c>
      <c r="G40" s="10" t="str">
        <f aca="false">IF($A40="","",IF($F40&lt;=0,"SIN STOCK",IF($F40&lt;=$D40,"REPONER","OK")))</f>
        <v/>
      </c>
    </row>
    <row r="41" customFormat="false" ht="15" hidden="false" customHeight="false" outlineLevel="0" collapsed="false">
      <c r="A41" s="6"/>
      <c r="B41" s="6"/>
      <c r="C41" s="7"/>
      <c r="D41" s="7"/>
      <c r="E41" s="8"/>
      <c r="F41" s="9" t="str">
        <f aca="false">IF($A41="","",$C41+SUMIFS(Movimientos!$D$5:$D$504,Movimientos!$B$5:$B$504,$A41,Movimientos!$C$5:$C$504,"Entrada")-SUMIFS(Movimientos!$D$5:$D$504,Movimientos!$B$5:$B$504,$A41,Movimientos!$C$5:$C$504,"Salida"))</f>
        <v/>
      </c>
      <c r="G41" s="10" t="str">
        <f aca="false">IF($A41="","",IF($F41&lt;=0,"SIN STOCK",IF($F41&lt;=$D41,"REPONER","OK")))</f>
        <v/>
      </c>
    </row>
    <row r="42" customFormat="false" ht="15" hidden="false" customHeight="false" outlineLevel="0" collapsed="false">
      <c r="A42" s="6"/>
      <c r="B42" s="6"/>
      <c r="C42" s="7"/>
      <c r="D42" s="7"/>
      <c r="E42" s="8"/>
      <c r="F42" s="9" t="str">
        <f aca="false">IF($A42="","",$C42+SUMIFS(Movimientos!$D$5:$D$504,Movimientos!$B$5:$B$504,$A42,Movimientos!$C$5:$C$504,"Entrada")-SUMIFS(Movimientos!$D$5:$D$504,Movimientos!$B$5:$B$504,$A42,Movimientos!$C$5:$C$504,"Salida"))</f>
        <v/>
      </c>
      <c r="G42" s="10" t="str">
        <f aca="false">IF($A42="","",IF($F42&lt;=0,"SIN STOCK",IF($F42&lt;=$D42,"REPONER","OK")))</f>
        <v/>
      </c>
    </row>
    <row r="43" customFormat="false" ht="15" hidden="false" customHeight="false" outlineLevel="0" collapsed="false">
      <c r="A43" s="6"/>
      <c r="B43" s="6"/>
      <c r="C43" s="7"/>
      <c r="D43" s="7"/>
      <c r="E43" s="8"/>
      <c r="F43" s="9" t="str">
        <f aca="false">IF($A43="","",$C43+SUMIFS(Movimientos!$D$5:$D$504,Movimientos!$B$5:$B$504,$A43,Movimientos!$C$5:$C$504,"Entrada")-SUMIFS(Movimientos!$D$5:$D$504,Movimientos!$B$5:$B$504,$A43,Movimientos!$C$5:$C$504,"Salida"))</f>
        <v/>
      </c>
      <c r="G43" s="10" t="str">
        <f aca="false">IF($A43="","",IF($F43&lt;=0,"SIN STOCK",IF($F43&lt;=$D43,"REPONER","OK")))</f>
        <v/>
      </c>
    </row>
    <row r="44" customFormat="false" ht="15" hidden="false" customHeight="false" outlineLevel="0" collapsed="false">
      <c r="A44" s="6"/>
      <c r="B44" s="6"/>
      <c r="C44" s="7"/>
      <c r="D44" s="7"/>
      <c r="E44" s="8"/>
      <c r="F44" s="9" t="str">
        <f aca="false">IF($A44="","",$C44+SUMIFS(Movimientos!$D$5:$D$504,Movimientos!$B$5:$B$504,$A44,Movimientos!$C$5:$C$504,"Entrada")-SUMIFS(Movimientos!$D$5:$D$504,Movimientos!$B$5:$B$504,$A44,Movimientos!$C$5:$C$504,"Salida"))</f>
        <v/>
      </c>
      <c r="G44" s="10" t="str">
        <f aca="false">IF($A44="","",IF($F44&lt;=0,"SIN STOCK",IF($F44&lt;=$D44,"REPONER","OK")))</f>
        <v/>
      </c>
    </row>
    <row r="45" customFormat="false" ht="15" hidden="false" customHeight="false" outlineLevel="0" collapsed="false">
      <c r="A45" s="6"/>
      <c r="B45" s="6"/>
      <c r="C45" s="7"/>
      <c r="D45" s="7"/>
      <c r="E45" s="8"/>
      <c r="F45" s="9" t="str">
        <f aca="false">IF($A45="","",$C45+SUMIFS(Movimientos!$D$5:$D$504,Movimientos!$B$5:$B$504,$A45,Movimientos!$C$5:$C$504,"Entrada")-SUMIFS(Movimientos!$D$5:$D$504,Movimientos!$B$5:$B$504,$A45,Movimientos!$C$5:$C$504,"Salida"))</f>
        <v/>
      </c>
      <c r="G45" s="10" t="str">
        <f aca="false">IF($A45="","",IF($F45&lt;=0,"SIN STOCK",IF($F45&lt;=$D45,"REPONER","OK")))</f>
        <v/>
      </c>
    </row>
    <row r="46" customFormat="false" ht="15" hidden="false" customHeight="false" outlineLevel="0" collapsed="false">
      <c r="A46" s="6"/>
      <c r="B46" s="6"/>
      <c r="C46" s="7"/>
      <c r="D46" s="7"/>
      <c r="E46" s="8"/>
      <c r="F46" s="9" t="str">
        <f aca="false">IF($A46="","",$C46+SUMIFS(Movimientos!$D$5:$D$504,Movimientos!$B$5:$B$504,$A46,Movimientos!$C$5:$C$504,"Entrada")-SUMIFS(Movimientos!$D$5:$D$504,Movimientos!$B$5:$B$504,$A46,Movimientos!$C$5:$C$504,"Salida"))</f>
        <v/>
      </c>
      <c r="G46" s="10" t="str">
        <f aca="false">IF($A46="","",IF($F46&lt;=0,"SIN STOCK",IF($F46&lt;=$D46,"REPONER","OK")))</f>
        <v/>
      </c>
    </row>
    <row r="47" customFormat="false" ht="15" hidden="false" customHeight="false" outlineLevel="0" collapsed="false">
      <c r="A47" s="6"/>
      <c r="B47" s="6"/>
      <c r="C47" s="7"/>
      <c r="D47" s="7"/>
      <c r="E47" s="8"/>
      <c r="F47" s="9" t="str">
        <f aca="false">IF($A47="","",$C47+SUMIFS(Movimientos!$D$5:$D$504,Movimientos!$B$5:$B$504,$A47,Movimientos!$C$5:$C$504,"Entrada")-SUMIFS(Movimientos!$D$5:$D$504,Movimientos!$B$5:$B$504,$A47,Movimientos!$C$5:$C$504,"Salida"))</f>
        <v/>
      </c>
      <c r="G47" s="10" t="str">
        <f aca="false">IF($A47="","",IF($F47&lt;=0,"SIN STOCK",IF($F47&lt;=$D47,"REPONER","OK")))</f>
        <v/>
      </c>
    </row>
    <row r="48" customFormat="false" ht="15" hidden="false" customHeight="false" outlineLevel="0" collapsed="false">
      <c r="A48" s="6"/>
      <c r="B48" s="6"/>
      <c r="C48" s="7"/>
      <c r="D48" s="7"/>
      <c r="E48" s="8"/>
      <c r="F48" s="9" t="str">
        <f aca="false">IF($A48="","",$C48+SUMIFS(Movimientos!$D$5:$D$504,Movimientos!$B$5:$B$504,$A48,Movimientos!$C$5:$C$504,"Entrada")-SUMIFS(Movimientos!$D$5:$D$504,Movimientos!$B$5:$B$504,$A48,Movimientos!$C$5:$C$504,"Salida"))</f>
        <v/>
      </c>
      <c r="G48" s="10" t="str">
        <f aca="false">IF($A48="","",IF($F48&lt;=0,"SIN STOCK",IF($F48&lt;=$D48,"REPONER","OK")))</f>
        <v/>
      </c>
    </row>
    <row r="49" customFormat="false" ht="15" hidden="false" customHeight="false" outlineLevel="0" collapsed="false">
      <c r="A49" s="6"/>
      <c r="B49" s="6"/>
      <c r="C49" s="7"/>
      <c r="D49" s="7"/>
      <c r="E49" s="8"/>
      <c r="F49" s="9" t="str">
        <f aca="false">IF($A49="","",$C49+SUMIFS(Movimientos!$D$5:$D$504,Movimientos!$B$5:$B$504,$A49,Movimientos!$C$5:$C$504,"Entrada")-SUMIFS(Movimientos!$D$5:$D$504,Movimientos!$B$5:$B$504,$A49,Movimientos!$C$5:$C$504,"Salida"))</f>
        <v/>
      </c>
      <c r="G49" s="10" t="str">
        <f aca="false">IF($A49="","",IF($F49&lt;=0,"SIN STOCK",IF($F49&lt;=$D49,"REPONER","OK")))</f>
        <v/>
      </c>
    </row>
    <row r="50" customFormat="false" ht="15" hidden="false" customHeight="false" outlineLevel="0" collapsed="false">
      <c r="A50" s="6"/>
      <c r="B50" s="6"/>
      <c r="C50" s="7"/>
      <c r="D50" s="7"/>
      <c r="E50" s="8"/>
      <c r="F50" s="9" t="str">
        <f aca="false">IF($A50="","",$C50+SUMIFS(Movimientos!$D$5:$D$504,Movimientos!$B$5:$B$504,$A50,Movimientos!$C$5:$C$504,"Entrada")-SUMIFS(Movimientos!$D$5:$D$504,Movimientos!$B$5:$B$504,$A50,Movimientos!$C$5:$C$504,"Salida"))</f>
        <v/>
      </c>
      <c r="G50" s="10" t="str">
        <f aca="false">IF($A50="","",IF($F50&lt;=0,"SIN STOCK",IF($F50&lt;=$D50,"REPONER","OK")))</f>
        <v/>
      </c>
    </row>
    <row r="51" customFormat="false" ht="15" hidden="false" customHeight="false" outlineLevel="0" collapsed="false">
      <c r="A51" s="6"/>
      <c r="B51" s="6"/>
      <c r="C51" s="7"/>
      <c r="D51" s="7"/>
      <c r="E51" s="8"/>
      <c r="F51" s="9" t="str">
        <f aca="false">IF($A51="","",$C51+SUMIFS(Movimientos!$D$5:$D$504,Movimientos!$B$5:$B$504,$A51,Movimientos!$C$5:$C$504,"Entrada")-SUMIFS(Movimientos!$D$5:$D$504,Movimientos!$B$5:$B$504,$A51,Movimientos!$C$5:$C$504,"Salida"))</f>
        <v/>
      </c>
      <c r="G51" s="10" t="str">
        <f aca="false">IF($A51="","",IF($F51&lt;=0,"SIN STOCK",IF($F51&lt;=$D51,"REPONER","OK")))</f>
        <v/>
      </c>
    </row>
    <row r="52" customFormat="false" ht="15" hidden="false" customHeight="false" outlineLevel="0" collapsed="false">
      <c r="A52" s="6"/>
      <c r="B52" s="6"/>
      <c r="C52" s="7"/>
      <c r="D52" s="7"/>
      <c r="E52" s="8"/>
      <c r="F52" s="9" t="str">
        <f aca="false">IF($A52="","",$C52+SUMIFS(Movimientos!$D$5:$D$504,Movimientos!$B$5:$B$504,$A52,Movimientos!$C$5:$C$504,"Entrada")-SUMIFS(Movimientos!$D$5:$D$504,Movimientos!$B$5:$B$504,$A52,Movimientos!$C$5:$C$504,"Salida"))</f>
        <v/>
      </c>
      <c r="G52" s="10" t="str">
        <f aca="false">IF($A52="","",IF($F52&lt;=0,"SIN STOCK",IF($F52&lt;=$D52,"REPONER","OK")))</f>
        <v/>
      </c>
    </row>
    <row r="53" customFormat="false" ht="15" hidden="false" customHeight="false" outlineLevel="0" collapsed="false">
      <c r="A53" s="6"/>
      <c r="B53" s="6"/>
      <c r="C53" s="7"/>
      <c r="D53" s="7"/>
      <c r="E53" s="8"/>
      <c r="F53" s="9" t="str">
        <f aca="false">IF($A53="","",$C53+SUMIFS(Movimientos!$D$5:$D$504,Movimientos!$B$5:$B$504,$A53,Movimientos!$C$5:$C$504,"Entrada")-SUMIFS(Movimientos!$D$5:$D$504,Movimientos!$B$5:$B$504,$A53,Movimientos!$C$5:$C$504,"Salida"))</f>
        <v/>
      </c>
      <c r="G53" s="10" t="str">
        <f aca="false">IF($A53="","",IF($F53&lt;=0,"SIN STOCK",IF($F53&lt;=$D53,"REPONER","OK")))</f>
        <v/>
      </c>
    </row>
    <row r="54" customFormat="false" ht="15" hidden="false" customHeight="false" outlineLevel="0" collapsed="false">
      <c r="A54" s="6"/>
      <c r="B54" s="6"/>
      <c r="C54" s="7"/>
      <c r="D54" s="7"/>
      <c r="E54" s="8"/>
      <c r="F54" s="9" t="str">
        <f aca="false">IF($A54="","",$C54+SUMIFS(Movimientos!$D$5:$D$504,Movimientos!$B$5:$B$504,$A54,Movimientos!$C$5:$C$504,"Entrada")-SUMIFS(Movimientos!$D$5:$D$504,Movimientos!$B$5:$B$504,$A54,Movimientos!$C$5:$C$504,"Salida"))</f>
        <v/>
      </c>
      <c r="G54" s="10" t="str">
        <f aca="false">IF($A54="","",IF($F54&lt;=0,"SIN STOCK",IF($F54&lt;=$D54,"REPONER","OK")))</f>
        <v/>
      </c>
    </row>
    <row r="55" customFormat="false" ht="15" hidden="false" customHeight="false" outlineLevel="0" collapsed="false">
      <c r="A55" s="6"/>
      <c r="B55" s="6"/>
      <c r="C55" s="7"/>
      <c r="D55" s="7"/>
      <c r="E55" s="8"/>
      <c r="F55" s="9" t="str">
        <f aca="false">IF($A55="","",$C55+SUMIFS(Movimientos!$D$5:$D$504,Movimientos!$B$5:$B$504,$A55,Movimientos!$C$5:$C$504,"Entrada")-SUMIFS(Movimientos!$D$5:$D$504,Movimientos!$B$5:$B$504,$A55,Movimientos!$C$5:$C$504,"Salida"))</f>
        <v/>
      </c>
      <c r="G55" s="10" t="str">
        <f aca="false">IF($A55="","",IF($F55&lt;=0,"SIN STOCK",IF($F55&lt;=$D55,"REPONER","OK")))</f>
        <v/>
      </c>
    </row>
    <row r="56" customFormat="false" ht="15" hidden="false" customHeight="false" outlineLevel="0" collapsed="false">
      <c r="A56" s="6"/>
      <c r="B56" s="6"/>
      <c r="C56" s="7"/>
      <c r="D56" s="7"/>
      <c r="E56" s="8"/>
      <c r="F56" s="9" t="str">
        <f aca="false">IF($A56="","",$C56+SUMIFS(Movimientos!$D$5:$D$504,Movimientos!$B$5:$B$504,$A56,Movimientos!$C$5:$C$504,"Entrada")-SUMIFS(Movimientos!$D$5:$D$504,Movimientos!$B$5:$B$504,$A56,Movimientos!$C$5:$C$504,"Salida"))</f>
        <v/>
      </c>
      <c r="G56" s="10" t="str">
        <f aca="false">IF($A56="","",IF($F56&lt;=0,"SIN STOCK",IF($F56&lt;=$D56,"REPONER","OK")))</f>
        <v/>
      </c>
    </row>
    <row r="57" customFormat="false" ht="15" hidden="false" customHeight="false" outlineLevel="0" collapsed="false">
      <c r="A57" s="6"/>
      <c r="B57" s="6"/>
      <c r="C57" s="7"/>
      <c r="D57" s="7"/>
      <c r="E57" s="8"/>
      <c r="F57" s="9" t="str">
        <f aca="false">IF($A57="","",$C57+SUMIFS(Movimientos!$D$5:$D$504,Movimientos!$B$5:$B$504,$A57,Movimientos!$C$5:$C$504,"Entrada")-SUMIFS(Movimientos!$D$5:$D$504,Movimientos!$B$5:$B$504,$A57,Movimientos!$C$5:$C$504,"Salida"))</f>
        <v/>
      </c>
      <c r="G57" s="10" t="str">
        <f aca="false">IF($A57="","",IF($F57&lt;=0,"SIN STOCK",IF($F57&lt;=$D57,"REPONER","OK")))</f>
        <v/>
      </c>
    </row>
    <row r="58" customFormat="false" ht="15" hidden="false" customHeight="false" outlineLevel="0" collapsed="false">
      <c r="A58" s="6"/>
      <c r="B58" s="6"/>
      <c r="C58" s="7"/>
      <c r="D58" s="7"/>
      <c r="E58" s="8"/>
      <c r="F58" s="9" t="str">
        <f aca="false">IF($A58="","",$C58+SUMIFS(Movimientos!$D$5:$D$504,Movimientos!$B$5:$B$504,$A58,Movimientos!$C$5:$C$504,"Entrada")-SUMIFS(Movimientos!$D$5:$D$504,Movimientos!$B$5:$B$504,$A58,Movimientos!$C$5:$C$504,"Salida"))</f>
        <v/>
      </c>
      <c r="G58" s="10" t="str">
        <f aca="false">IF($A58="","",IF($F58&lt;=0,"SIN STOCK",IF($F58&lt;=$D58,"REPONER","OK")))</f>
        <v/>
      </c>
    </row>
    <row r="59" customFormat="false" ht="15" hidden="false" customHeight="false" outlineLevel="0" collapsed="false">
      <c r="A59" s="6"/>
      <c r="B59" s="6"/>
      <c r="C59" s="7"/>
      <c r="D59" s="7"/>
      <c r="E59" s="8"/>
      <c r="F59" s="9" t="str">
        <f aca="false">IF($A59="","",$C59+SUMIFS(Movimientos!$D$5:$D$504,Movimientos!$B$5:$B$504,$A59,Movimientos!$C$5:$C$504,"Entrada")-SUMIFS(Movimientos!$D$5:$D$504,Movimientos!$B$5:$B$504,$A59,Movimientos!$C$5:$C$504,"Salida"))</f>
        <v/>
      </c>
      <c r="G59" s="10" t="str">
        <f aca="false">IF($A59="","",IF($F59&lt;=0,"SIN STOCK",IF($F59&lt;=$D59,"REPONER","OK")))</f>
        <v/>
      </c>
    </row>
    <row r="60" customFormat="false" ht="15" hidden="false" customHeight="false" outlineLevel="0" collapsed="false">
      <c r="A60" s="6"/>
      <c r="B60" s="6"/>
      <c r="C60" s="7"/>
      <c r="D60" s="7"/>
      <c r="E60" s="8"/>
      <c r="F60" s="9" t="str">
        <f aca="false">IF($A60="","",$C60+SUMIFS(Movimientos!$D$5:$D$504,Movimientos!$B$5:$B$504,$A60,Movimientos!$C$5:$C$504,"Entrada")-SUMIFS(Movimientos!$D$5:$D$504,Movimientos!$B$5:$B$504,$A60,Movimientos!$C$5:$C$504,"Salida"))</f>
        <v/>
      </c>
      <c r="G60" s="10" t="str">
        <f aca="false">IF($A60="","",IF($F60&lt;=0,"SIN STOCK",IF($F60&lt;=$D60,"REPONER","OK")))</f>
        <v/>
      </c>
    </row>
    <row r="61" customFormat="false" ht="15" hidden="false" customHeight="false" outlineLevel="0" collapsed="false">
      <c r="A61" s="6"/>
      <c r="B61" s="6"/>
      <c r="C61" s="7"/>
      <c r="D61" s="7"/>
      <c r="E61" s="8"/>
      <c r="F61" s="9" t="str">
        <f aca="false">IF($A61="","",$C61+SUMIFS(Movimientos!$D$5:$D$504,Movimientos!$B$5:$B$504,$A61,Movimientos!$C$5:$C$504,"Entrada")-SUMIFS(Movimientos!$D$5:$D$504,Movimientos!$B$5:$B$504,$A61,Movimientos!$C$5:$C$504,"Salida"))</f>
        <v/>
      </c>
      <c r="G61" s="10" t="str">
        <f aca="false">IF($A61="","",IF($F61&lt;=0,"SIN STOCK",IF($F61&lt;=$D61,"REPONER","OK")))</f>
        <v/>
      </c>
    </row>
    <row r="62" customFormat="false" ht="15" hidden="false" customHeight="false" outlineLevel="0" collapsed="false">
      <c r="A62" s="6"/>
      <c r="B62" s="6"/>
      <c r="C62" s="7"/>
      <c r="D62" s="7"/>
      <c r="E62" s="8"/>
      <c r="F62" s="9" t="str">
        <f aca="false">IF($A62="","",$C62+SUMIFS(Movimientos!$D$5:$D$504,Movimientos!$B$5:$B$504,$A62,Movimientos!$C$5:$C$504,"Entrada")-SUMIFS(Movimientos!$D$5:$D$504,Movimientos!$B$5:$B$504,$A62,Movimientos!$C$5:$C$504,"Salida"))</f>
        <v/>
      </c>
      <c r="G62" s="10" t="str">
        <f aca="false">IF($A62="","",IF($F62&lt;=0,"SIN STOCK",IF($F62&lt;=$D62,"REPONER","OK")))</f>
        <v/>
      </c>
    </row>
    <row r="63" customFormat="false" ht="15" hidden="false" customHeight="false" outlineLevel="0" collapsed="false">
      <c r="A63" s="6"/>
      <c r="B63" s="6"/>
      <c r="C63" s="7"/>
      <c r="D63" s="7"/>
      <c r="E63" s="8"/>
      <c r="F63" s="9" t="str">
        <f aca="false">IF($A63="","",$C63+SUMIFS(Movimientos!$D$5:$D$504,Movimientos!$B$5:$B$504,$A63,Movimientos!$C$5:$C$504,"Entrada")-SUMIFS(Movimientos!$D$5:$D$504,Movimientos!$B$5:$B$504,$A63,Movimientos!$C$5:$C$504,"Salida"))</f>
        <v/>
      </c>
      <c r="G63" s="10" t="str">
        <f aca="false">IF($A63="","",IF($F63&lt;=0,"SIN STOCK",IF($F63&lt;=$D63,"REPONER","OK")))</f>
        <v/>
      </c>
    </row>
    <row r="64" customFormat="false" ht="15" hidden="false" customHeight="false" outlineLevel="0" collapsed="false">
      <c r="A64" s="6"/>
      <c r="B64" s="6"/>
      <c r="C64" s="7"/>
      <c r="D64" s="7"/>
      <c r="E64" s="8"/>
      <c r="F64" s="9" t="str">
        <f aca="false">IF($A64="","",$C64+SUMIFS(Movimientos!$D$5:$D$504,Movimientos!$B$5:$B$504,$A64,Movimientos!$C$5:$C$504,"Entrada")-SUMIFS(Movimientos!$D$5:$D$504,Movimientos!$B$5:$B$504,$A64,Movimientos!$C$5:$C$504,"Salida"))</f>
        <v/>
      </c>
      <c r="G64" s="10" t="str">
        <f aca="false">IF($A64="","",IF($F64&lt;=0,"SIN STOCK",IF($F64&lt;=$D64,"REPONER","OK")))</f>
        <v/>
      </c>
    </row>
    <row r="65" customFormat="false" ht="15" hidden="false" customHeight="false" outlineLevel="0" collapsed="false">
      <c r="A65" s="6"/>
      <c r="B65" s="6"/>
      <c r="C65" s="7"/>
      <c r="D65" s="7"/>
      <c r="E65" s="8"/>
      <c r="F65" s="9" t="str">
        <f aca="false">IF($A65="","",$C65+SUMIFS(Movimientos!$D$5:$D$504,Movimientos!$B$5:$B$504,$A65,Movimientos!$C$5:$C$504,"Entrada")-SUMIFS(Movimientos!$D$5:$D$504,Movimientos!$B$5:$B$504,$A65,Movimientos!$C$5:$C$504,"Salida"))</f>
        <v/>
      </c>
      <c r="G65" s="10" t="str">
        <f aca="false">IF($A65="","",IF($F65&lt;=0,"SIN STOCK",IF($F65&lt;=$D65,"REPONER","OK")))</f>
        <v/>
      </c>
    </row>
    <row r="66" customFormat="false" ht="15" hidden="false" customHeight="false" outlineLevel="0" collapsed="false">
      <c r="A66" s="6"/>
      <c r="B66" s="6"/>
      <c r="C66" s="7"/>
      <c r="D66" s="7"/>
      <c r="E66" s="8"/>
      <c r="F66" s="9" t="str">
        <f aca="false">IF($A66="","",$C66+SUMIFS(Movimientos!$D$5:$D$504,Movimientos!$B$5:$B$504,$A66,Movimientos!$C$5:$C$504,"Entrada")-SUMIFS(Movimientos!$D$5:$D$504,Movimientos!$B$5:$B$504,$A66,Movimientos!$C$5:$C$504,"Salida"))</f>
        <v/>
      </c>
      <c r="G66" s="10" t="str">
        <f aca="false">IF($A66="","",IF($F66&lt;=0,"SIN STOCK",IF($F66&lt;=$D66,"REPONER","OK")))</f>
        <v/>
      </c>
    </row>
    <row r="67" customFormat="false" ht="15" hidden="false" customHeight="false" outlineLevel="0" collapsed="false">
      <c r="A67" s="6"/>
      <c r="B67" s="6"/>
      <c r="C67" s="7"/>
      <c r="D67" s="7"/>
      <c r="E67" s="8"/>
      <c r="F67" s="9" t="str">
        <f aca="false">IF($A67="","",$C67+SUMIFS(Movimientos!$D$5:$D$504,Movimientos!$B$5:$B$504,$A67,Movimientos!$C$5:$C$504,"Entrada")-SUMIFS(Movimientos!$D$5:$D$504,Movimientos!$B$5:$B$504,$A67,Movimientos!$C$5:$C$504,"Salida"))</f>
        <v/>
      </c>
      <c r="G67" s="10" t="str">
        <f aca="false">IF($A67="","",IF($F67&lt;=0,"SIN STOCK",IF($F67&lt;=$D67,"REPONER","OK")))</f>
        <v/>
      </c>
    </row>
    <row r="68" customFormat="false" ht="15" hidden="false" customHeight="false" outlineLevel="0" collapsed="false">
      <c r="A68" s="6"/>
      <c r="B68" s="6"/>
      <c r="C68" s="7"/>
      <c r="D68" s="7"/>
      <c r="E68" s="8"/>
      <c r="F68" s="9" t="str">
        <f aca="false">IF($A68="","",$C68+SUMIFS(Movimientos!$D$5:$D$504,Movimientos!$B$5:$B$504,$A68,Movimientos!$C$5:$C$504,"Entrada")-SUMIFS(Movimientos!$D$5:$D$504,Movimientos!$B$5:$B$504,$A68,Movimientos!$C$5:$C$504,"Salida"))</f>
        <v/>
      </c>
      <c r="G68" s="10" t="str">
        <f aca="false">IF($A68="","",IF($F68&lt;=0,"SIN STOCK",IF($F68&lt;=$D68,"REPONER","OK")))</f>
        <v/>
      </c>
    </row>
    <row r="69" customFormat="false" ht="15" hidden="false" customHeight="false" outlineLevel="0" collapsed="false">
      <c r="A69" s="6"/>
      <c r="B69" s="6"/>
      <c r="C69" s="7"/>
      <c r="D69" s="7"/>
      <c r="E69" s="8"/>
      <c r="F69" s="9" t="str">
        <f aca="false">IF($A69="","",$C69+SUMIFS(Movimientos!$D$5:$D$504,Movimientos!$B$5:$B$504,$A69,Movimientos!$C$5:$C$504,"Entrada")-SUMIFS(Movimientos!$D$5:$D$504,Movimientos!$B$5:$B$504,$A69,Movimientos!$C$5:$C$504,"Salida"))</f>
        <v/>
      </c>
      <c r="G69" s="10" t="str">
        <f aca="false">IF($A69="","",IF($F69&lt;=0,"SIN STOCK",IF($F69&lt;=$D69,"REPONER","OK")))</f>
        <v/>
      </c>
    </row>
    <row r="70" customFormat="false" ht="15" hidden="false" customHeight="false" outlineLevel="0" collapsed="false">
      <c r="A70" s="6"/>
      <c r="B70" s="6"/>
      <c r="C70" s="7"/>
      <c r="D70" s="7"/>
      <c r="E70" s="8"/>
      <c r="F70" s="9" t="str">
        <f aca="false">IF($A70="","",$C70+SUMIFS(Movimientos!$D$5:$D$504,Movimientos!$B$5:$B$504,$A70,Movimientos!$C$5:$C$504,"Entrada")-SUMIFS(Movimientos!$D$5:$D$504,Movimientos!$B$5:$B$504,$A70,Movimientos!$C$5:$C$504,"Salida"))</f>
        <v/>
      </c>
      <c r="G70" s="10" t="str">
        <f aca="false">IF($A70="","",IF($F70&lt;=0,"SIN STOCK",IF($F70&lt;=$D70,"REPONER","OK")))</f>
        <v/>
      </c>
    </row>
    <row r="71" customFormat="false" ht="15" hidden="false" customHeight="false" outlineLevel="0" collapsed="false">
      <c r="A71" s="6"/>
      <c r="B71" s="6"/>
      <c r="C71" s="7"/>
      <c r="D71" s="7"/>
      <c r="E71" s="8"/>
      <c r="F71" s="9" t="str">
        <f aca="false">IF($A71="","",$C71+SUMIFS(Movimientos!$D$5:$D$504,Movimientos!$B$5:$B$504,$A71,Movimientos!$C$5:$C$504,"Entrada")-SUMIFS(Movimientos!$D$5:$D$504,Movimientos!$B$5:$B$504,$A71,Movimientos!$C$5:$C$504,"Salida"))</f>
        <v/>
      </c>
      <c r="G71" s="10" t="str">
        <f aca="false">IF($A71="","",IF($F71&lt;=0,"SIN STOCK",IF($F71&lt;=$D71,"REPONER","OK")))</f>
        <v/>
      </c>
    </row>
    <row r="72" customFormat="false" ht="15" hidden="false" customHeight="false" outlineLevel="0" collapsed="false">
      <c r="A72" s="6"/>
      <c r="B72" s="6"/>
      <c r="C72" s="7"/>
      <c r="D72" s="7"/>
      <c r="E72" s="8"/>
      <c r="F72" s="9" t="str">
        <f aca="false">IF($A72="","",$C72+SUMIFS(Movimientos!$D$5:$D$504,Movimientos!$B$5:$B$504,$A72,Movimientos!$C$5:$C$504,"Entrada")-SUMIFS(Movimientos!$D$5:$D$504,Movimientos!$B$5:$B$504,$A72,Movimientos!$C$5:$C$504,"Salida"))</f>
        <v/>
      </c>
      <c r="G72" s="10" t="str">
        <f aca="false">IF($A72="","",IF($F72&lt;=0,"SIN STOCK",IF($F72&lt;=$D72,"REPONER","OK")))</f>
        <v/>
      </c>
    </row>
    <row r="73" customFormat="false" ht="15" hidden="false" customHeight="false" outlineLevel="0" collapsed="false">
      <c r="A73" s="6"/>
      <c r="B73" s="6"/>
      <c r="C73" s="7"/>
      <c r="D73" s="7"/>
      <c r="E73" s="8"/>
      <c r="F73" s="9" t="str">
        <f aca="false">IF($A73="","",$C73+SUMIFS(Movimientos!$D$5:$D$504,Movimientos!$B$5:$B$504,$A73,Movimientos!$C$5:$C$504,"Entrada")-SUMIFS(Movimientos!$D$5:$D$504,Movimientos!$B$5:$B$504,$A73,Movimientos!$C$5:$C$504,"Salida"))</f>
        <v/>
      </c>
      <c r="G73" s="10" t="str">
        <f aca="false">IF($A73="","",IF($F73&lt;=0,"SIN STOCK",IF($F73&lt;=$D73,"REPONER","OK")))</f>
        <v/>
      </c>
    </row>
    <row r="74" customFormat="false" ht="15" hidden="false" customHeight="false" outlineLevel="0" collapsed="false">
      <c r="A74" s="6"/>
      <c r="B74" s="6"/>
      <c r="C74" s="7"/>
      <c r="D74" s="7"/>
      <c r="E74" s="8"/>
      <c r="F74" s="9" t="str">
        <f aca="false">IF($A74="","",$C74+SUMIFS(Movimientos!$D$5:$D$504,Movimientos!$B$5:$B$504,$A74,Movimientos!$C$5:$C$504,"Entrada")-SUMIFS(Movimientos!$D$5:$D$504,Movimientos!$B$5:$B$504,$A74,Movimientos!$C$5:$C$504,"Salida"))</f>
        <v/>
      </c>
      <c r="G74" s="10" t="str">
        <f aca="false">IF($A74="","",IF($F74&lt;=0,"SIN STOCK",IF($F74&lt;=$D74,"REPONER","OK")))</f>
        <v/>
      </c>
    </row>
    <row r="75" customFormat="false" ht="15" hidden="false" customHeight="false" outlineLevel="0" collapsed="false">
      <c r="A75" s="6"/>
      <c r="B75" s="6"/>
      <c r="C75" s="7"/>
      <c r="D75" s="7"/>
      <c r="E75" s="8"/>
      <c r="F75" s="9" t="str">
        <f aca="false">IF($A75="","",$C75+SUMIFS(Movimientos!$D$5:$D$504,Movimientos!$B$5:$B$504,$A75,Movimientos!$C$5:$C$504,"Entrada")-SUMIFS(Movimientos!$D$5:$D$504,Movimientos!$B$5:$B$504,$A75,Movimientos!$C$5:$C$504,"Salida"))</f>
        <v/>
      </c>
      <c r="G75" s="10" t="str">
        <f aca="false">IF($A75="","",IF($F75&lt;=0,"SIN STOCK",IF($F75&lt;=$D75,"REPONER","OK")))</f>
        <v/>
      </c>
    </row>
    <row r="76" customFormat="false" ht="15" hidden="false" customHeight="false" outlineLevel="0" collapsed="false">
      <c r="A76" s="6"/>
      <c r="B76" s="6"/>
      <c r="C76" s="7"/>
      <c r="D76" s="7"/>
      <c r="E76" s="8"/>
      <c r="F76" s="9" t="str">
        <f aca="false">IF($A76="","",$C76+SUMIFS(Movimientos!$D$5:$D$504,Movimientos!$B$5:$B$504,$A76,Movimientos!$C$5:$C$504,"Entrada")-SUMIFS(Movimientos!$D$5:$D$504,Movimientos!$B$5:$B$504,$A76,Movimientos!$C$5:$C$504,"Salida"))</f>
        <v/>
      </c>
      <c r="G76" s="10" t="str">
        <f aca="false">IF($A76="","",IF($F76&lt;=0,"SIN STOCK",IF($F76&lt;=$D76,"REPONER","OK")))</f>
        <v/>
      </c>
    </row>
    <row r="77" customFormat="false" ht="15" hidden="false" customHeight="false" outlineLevel="0" collapsed="false">
      <c r="A77" s="6"/>
      <c r="B77" s="6"/>
      <c r="C77" s="7"/>
      <c r="D77" s="7"/>
      <c r="E77" s="8"/>
      <c r="F77" s="9" t="str">
        <f aca="false">IF($A77="","",$C77+SUMIFS(Movimientos!$D$5:$D$504,Movimientos!$B$5:$B$504,$A77,Movimientos!$C$5:$C$504,"Entrada")-SUMIFS(Movimientos!$D$5:$D$504,Movimientos!$B$5:$B$504,$A77,Movimientos!$C$5:$C$504,"Salida"))</f>
        <v/>
      </c>
      <c r="G77" s="10" t="str">
        <f aca="false">IF($A77="","",IF($F77&lt;=0,"SIN STOCK",IF($F77&lt;=$D77,"REPONER","OK")))</f>
        <v/>
      </c>
    </row>
    <row r="78" customFormat="false" ht="15" hidden="false" customHeight="false" outlineLevel="0" collapsed="false">
      <c r="A78" s="6"/>
      <c r="B78" s="6"/>
      <c r="C78" s="7"/>
      <c r="D78" s="7"/>
      <c r="E78" s="8"/>
      <c r="F78" s="9" t="str">
        <f aca="false">IF($A78="","",$C78+SUMIFS(Movimientos!$D$5:$D$504,Movimientos!$B$5:$B$504,$A78,Movimientos!$C$5:$C$504,"Entrada")-SUMIFS(Movimientos!$D$5:$D$504,Movimientos!$B$5:$B$504,$A78,Movimientos!$C$5:$C$504,"Salida"))</f>
        <v/>
      </c>
      <c r="G78" s="10" t="str">
        <f aca="false">IF($A78="","",IF($F78&lt;=0,"SIN STOCK",IF($F78&lt;=$D78,"REPONER","OK")))</f>
        <v/>
      </c>
    </row>
    <row r="79" customFormat="false" ht="15" hidden="false" customHeight="false" outlineLevel="0" collapsed="false">
      <c r="A79" s="6"/>
      <c r="B79" s="6"/>
      <c r="C79" s="7"/>
      <c r="D79" s="7"/>
      <c r="E79" s="8"/>
      <c r="F79" s="9" t="str">
        <f aca="false">IF($A79="","",$C79+SUMIFS(Movimientos!$D$5:$D$504,Movimientos!$B$5:$B$504,$A79,Movimientos!$C$5:$C$504,"Entrada")-SUMIFS(Movimientos!$D$5:$D$504,Movimientos!$B$5:$B$504,$A79,Movimientos!$C$5:$C$504,"Salida"))</f>
        <v/>
      </c>
      <c r="G79" s="10" t="str">
        <f aca="false">IF($A79="","",IF($F79&lt;=0,"SIN STOCK",IF($F79&lt;=$D79,"REPONER","OK")))</f>
        <v/>
      </c>
    </row>
    <row r="80" customFormat="false" ht="15" hidden="false" customHeight="false" outlineLevel="0" collapsed="false">
      <c r="A80" s="6"/>
      <c r="B80" s="6"/>
      <c r="C80" s="7"/>
      <c r="D80" s="7"/>
      <c r="E80" s="8"/>
      <c r="F80" s="9" t="str">
        <f aca="false">IF($A80="","",$C80+SUMIFS(Movimientos!$D$5:$D$504,Movimientos!$B$5:$B$504,$A80,Movimientos!$C$5:$C$504,"Entrada")-SUMIFS(Movimientos!$D$5:$D$504,Movimientos!$B$5:$B$504,$A80,Movimientos!$C$5:$C$504,"Salida"))</f>
        <v/>
      </c>
      <c r="G80" s="10" t="str">
        <f aca="false">IF($A80="","",IF($F80&lt;=0,"SIN STOCK",IF($F80&lt;=$D80,"REPONER","OK")))</f>
        <v/>
      </c>
    </row>
    <row r="81" customFormat="false" ht="15" hidden="false" customHeight="false" outlineLevel="0" collapsed="false">
      <c r="A81" s="6"/>
      <c r="B81" s="6"/>
      <c r="C81" s="7"/>
      <c r="D81" s="7"/>
      <c r="E81" s="8"/>
      <c r="F81" s="9" t="str">
        <f aca="false">IF($A81="","",$C81+SUMIFS(Movimientos!$D$5:$D$504,Movimientos!$B$5:$B$504,$A81,Movimientos!$C$5:$C$504,"Entrada")-SUMIFS(Movimientos!$D$5:$D$504,Movimientos!$B$5:$B$504,$A81,Movimientos!$C$5:$C$504,"Salida"))</f>
        <v/>
      </c>
      <c r="G81" s="10" t="str">
        <f aca="false">IF($A81="","",IF($F81&lt;=0,"SIN STOCK",IF($F81&lt;=$D81,"REPONER","OK")))</f>
        <v/>
      </c>
    </row>
    <row r="82" customFormat="false" ht="15" hidden="false" customHeight="false" outlineLevel="0" collapsed="false">
      <c r="A82" s="6"/>
      <c r="B82" s="6"/>
      <c r="C82" s="7"/>
      <c r="D82" s="7"/>
      <c r="E82" s="8"/>
      <c r="F82" s="9" t="str">
        <f aca="false">IF($A82="","",$C82+SUMIFS(Movimientos!$D$5:$D$504,Movimientos!$B$5:$B$504,$A82,Movimientos!$C$5:$C$504,"Entrada")-SUMIFS(Movimientos!$D$5:$D$504,Movimientos!$B$5:$B$504,$A82,Movimientos!$C$5:$C$504,"Salida"))</f>
        <v/>
      </c>
      <c r="G82" s="10" t="str">
        <f aca="false">IF($A82="","",IF($F82&lt;=0,"SIN STOCK",IF($F82&lt;=$D82,"REPONER","OK")))</f>
        <v/>
      </c>
    </row>
    <row r="83" customFormat="false" ht="15" hidden="false" customHeight="false" outlineLevel="0" collapsed="false">
      <c r="A83" s="6"/>
      <c r="B83" s="6"/>
      <c r="C83" s="7"/>
      <c r="D83" s="7"/>
      <c r="E83" s="8"/>
      <c r="F83" s="9" t="str">
        <f aca="false">IF($A83="","",$C83+SUMIFS(Movimientos!$D$5:$D$504,Movimientos!$B$5:$B$504,$A83,Movimientos!$C$5:$C$504,"Entrada")-SUMIFS(Movimientos!$D$5:$D$504,Movimientos!$B$5:$B$504,$A83,Movimientos!$C$5:$C$504,"Salida"))</f>
        <v/>
      </c>
      <c r="G83" s="10" t="str">
        <f aca="false">IF($A83="","",IF($F83&lt;=0,"SIN STOCK",IF($F83&lt;=$D83,"REPONER","OK")))</f>
        <v/>
      </c>
    </row>
    <row r="84" customFormat="false" ht="15" hidden="false" customHeight="false" outlineLevel="0" collapsed="false">
      <c r="A84" s="6"/>
      <c r="B84" s="6"/>
      <c r="C84" s="7"/>
      <c r="D84" s="7"/>
      <c r="E84" s="8"/>
      <c r="F84" s="9" t="str">
        <f aca="false">IF($A84="","",$C84+SUMIFS(Movimientos!$D$5:$D$504,Movimientos!$B$5:$B$504,$A84,Movimientos!$C$5:$C$504,"Entrada")-SUMIFS(Movimientos!$D$5:$D$504,Movimientos!$B$5:$B$504,$A84,Movimientos!$C$5:$C$504,"Salida"))</f>
        <v/>
      </c>
      <c r="G84" s="10" t="str">
        <f aca="false">IF($A84="","",IF($F84&lt;=0,"SIN STOCK",IF($F84&lt;=$D84,"REPONER","OK")))</f>
        <v/>
      </c>
    </row>
    <row r="85" customFormat="false" ht="15" hidden="false" customHeight="false" outlineLevel="0" collapsed="false">
      <c r="A85" s="6"/>
      <c r="B85" s="6"/>
      <c r="C85" s="7"/>
      <c r="D85" s="7"/>
      <c r="E85" s="8"/>
      <c r="F85" s="9" t="str">
        <f aca="false">IF($A85="","",$C85+SUMIFS(Movimientos!$D$5:$D$504,Movimientos!$B$5:$B$504,$A85,Movimientos!$C$5:$C$504,"Entrada")-SUMIFS(Movimientos!$D$5:$D$504,Movimientos!$B$5:$B$504,$A85,Movimientos!$C$5:$C$504,"Salida"))</f>
        <v/>
      </c>
      <c r="G85" s="10" t="str">
        <f aca="false">IF($A85="","",IF($F85&lt;=0,"SIN STOCK",IF($F85&lt;=$D85,"REPONER","OK")))</f>
        <v/>
      </c>
    </row>
    <row r="86" customFormat="false" ht="15" hidden="false" customHeight="false" outlineLevel="0" collapsed="false">
      <c r="A86" s="6"/>
      <c r="B86" s="6"/>
      <c r="C86" s="7"/>
      <c r="D86" s="7"/>
      <c r="E86" s="8"/>
      <c r="F86" s="9" t="str">
        <f aca="false">IF($A86="","",$C86+SUMIFS(Movimientos!$D$5:$D$504,Movimientos!$B$5:$B$504,$A86,Movimientos!$C$5:$C$504,"Entrada")-SUMIFS(Movimientos!$D$5:$D$504,Movimientos!$B$5:$B$504,$A86,Movimientos!$C$5:$C$504,"Salida"))</f>
        <v/>
      </c>
      <c r="G86" s="10" t="str">
        <f aca="false">IF($A86="","",IF($F86&lt;=0,"SIN STOCK",IF($F86&lt;=$D86,"REPONER","OK")))</f>
        <v/>
      </c>
    </row>
    <row r="87" customFormat="false" ht="15" hidden="false" customHeight="false" outlineLevel="0" collapsed="false">
      <c r="A87" s="6"/>
      <c r="B87" s="6"/>
      <c r="C87" s="7"/>
      <c r="D87" s="7"/>
      <c r="E87" s="8"/>
      <c r="F87" s="9" t="str">
        <f aca="false">IF($A87="","",$C87+SUMIFS(Movimientos!$D$5:$D$504,Movimientos!$B$5:$B$504,$A87,Movimientos!$C$5:$C$504,"Entrada")-SUMIFS(Movimientos!$D$5:$D$504,Movimientos!$B$5:$B$504,$A87,Movimientos!$C$5:$C$504,"Salida"))</f>
        <v/>
      </c>
      <c r="G87" s="10" t="str">
        <f aca="false">IF($A87="","",IF($F87&lt;=0,"SIN STOCK",IF($F87&lt;=$D87,"REPONER","OK")))</f>
        <v/>
      </c>
    </row>
    <row r="88" customFormat="false" ht="15" hidden="false" customHeight="false" outlineLevel="0" collapsed="false">
      <c r="A88" s="6"/>
      <c r="B88" s="6"/>
      <c r="C88" s="7"/>
      <c r="D88" s="7"/>
      <c r="E88" s="8"/>
      <c r="F88" s="9" t="str">
        <f aca="false">IF($A88="","",$C88+SUMIFS(Movimientos!$D$5:$D$504,Movimientos!$B$5:$B$504,$A88,Movimientos!$C$5:$C$504,"Entrada")-SUMIFS(Movimientos!$D$5:$D$504,Movimientos!$B$5:$B$504,$A88,Movimientos!$C$5:$C$504,"Salida"))</f>
        <v/>
      </c>
      <c r="G88" s="10" t="str">
        <f aca="false">IF($A88="","",IF($F88&lt;=0,"SIN STOCK",IF($F88&lt;=$D88,"REPONER","OK")))</f>
        <v/>
      </c>
    </row>
    <row r="89" customFormat="false" ht="15" hidden="false" customHeight="false" outlineLevel="0" collapsed="false">
      <c r="A89" s="6"/>
      <c r="B89" s="6"/>
      <c r="C89" s="7"/>
      <c r="D89" s="7"/>
      <c r="E89" s="8"/>
      <c r="F89" s="9" t="str">
        <f aca="false">IF($A89="","",$C89+SUMIFS(Movimientos!$D$5:$D$504,Movimientos!$B$5:$B$504,$A89,Movimientos!$C$5:$C$504,"Entrada")-SUMIFS(Movimientos!$D$5:$D$504,Movimientos!$B$5:$B$504,$A89,Movimientos!$C$5:$C$504,"Salida"))</f>
        <v/>
      </c>
      <c r="G89" s="10" t="str">
        <f aca="false">IF($A89="","",IF($F89&lt;=0,"SIN STOCK",IF($F89&lt;=$D89,"REPONER","OK")))</f>
        <v/>
      </c>
    </row>
    <row r="90" customFormat="false" ht="15" hidden="false" customHeight="false" outlineLevel="0" collapsed="false">
      <c r="A90" s="6"/>
      <c r="B90" s="6"/>
      <c r="C90" s="7"/>
      <c r="D90" s="7"/>
      <c r="E90" s="8"/>
      <c r="F90" s="9" t="str">
        <f aca="false">IF($A90="","",$C90+SUMIFS(Movimientos!$D$5:$D$504,Movimientos!$B$5:$B$504,$A90,Movimientos!$C$5:$C$504,"Entrada")-SUMIFS(Movimientos!$D$5:$D$504,Movimientos!$B$5:$B$504,$A90,Movimientos!$C$5:$C$504,"Salida"))</f>
        <v/>
      </c>
      <c r="G90" s="10" t="str">
        <f aca="false">IF($A90="","",IF($F90&lt;=0,"SIN STOCK",IF($F90&lt;=$D90,"REPONER","OK")))</f>
        <v/>
      </c>
    </row>
    <row r="91" customFormat="false" ht="15" hidden="false" customHeight="false" outlineLevel="0" collapsed="false">
      <c r="A91" s="6"/>
      <c r="B91" s="6"/>
      <c r="C91" s="7"/>
      <c r="D91" s="7"/>
      <c r="E91" s="8"/>
      <c r="F91" s="9" t="str">
        <f aca="false">IF($A91="","",$C91+SUMIFS(Movimientos!$D$5:$D$504,Movimientos!$B$5:$B$504,$A91,Movimientos!$C$5:$C$504,"Entrada")-SUMIFS(Movimientos!$D$5:$D$504,Movimientos!$B$5:$B$504,$A91,Movimientos!$C$5:$C$504,"Salida"))</f>
        <v/>
      </c>
      <c r="G91" s="10" t="str">
        <f aca="false">IF($A91="","",IF($F91&lt;=0,"SIN STOCK",IF($F91&lt;=$D91,"REPONER","OK")))</f>
        <v/>
      </c>
    </row>
    <row r="92" customFormat="false" ht="15" hidden="false" customHeight="false" outlineLevel="0" collapsed="false">
      <c r="A92" s="6"/>
      <c r="B92" s="6"/>
      <c r="C92" s="7"/>
      <c r="D92" s="7"/>
      <c r="E92" s="8"/>
      <c r="F92" s="9" t="str">
        <f aca="false">IF($A92="","",$C92+SUMIFS(Movimientos!$D$5:$D$504,Movimientos!$B$5:$B$504,$A92,Movimientos!$C$5:$C$504,"Entrada")-SUMIFS(Movimientos!$D$5:$D$504,Movimientos!$B$5:$B$504,$A92,Movimientos!$C$5:$C$504,"Salida"))</f>
        <v/>
      </c>
      <c r="G92" s="10" t="str">
        <f aca="false">IF($A92="","",IF($F92&lt;=0,"SIN STOCK",IF($F92&lt;=$D92,"REPONER","OK")))</f>
        <v/>
      </c>
    </row>
    <row r="93" customFormat="false" ht="15" hidden="false" customHeight="false" outlineLevel="0" collapsed="false">
      <c r="A93" s="6"/>
      <c r="B93" s="6"/>
      <c r="C93" s="7"/>
      <c r="D93" s="7"/>
      <c r="E93" s="8"/>
      <c r="F93" s="9" t="str">
        <f aca="false">IF($A93="","",$C93+SUMIFS(Movimientos!$D$5:$D$504,Movimientos!$B$5:$B$504,$A93,Movimientos!$C$5:$C$504,"Entrada")-SUMIFS(Movimientos!$D$5:$D$504,Movimientos!$B$5:$B$504,$A93,Movimientos!$C$5:$C$504,"Salida"))</f>
        <v/>
      </c>
      <c r="G93" s="10" t="str">
        <f aca="false">IF($A93="","",IF($F93&lt;=0,"SIN STOCK",IF($F93&lt;=$D93,"REPONER","OK")))</f>
        <v/>
      </c>
    </row>
    <row r="94" customFormat="false" ht="15" hidden="false" customHeight="false" outlineLevel="0" collapsed="false">
      <c r="A94" s="6"/>
      <c r="B94" s="6"/>
      <c r="C94" s="7"/>
      <c r="D94" s="7"/>
      <c r="E94" s="8"/>
      <c r="F94" s="9" t="str">
        <f aca="false">IF($A94="","",$C94+SUMIFS(Movimientos!$D$5:$D$504,Movimientos!$B$5:$B$504,$A94,Movimientos!$C$5:$C$504,"Entrada")-SUMIFS(Movimientos!$D$5:$D$504,Movimientos!$B$5:$B$504,$A94,Movimientos!$C$5:$C$504,"Salida"))</f>
        <v/>
      </c>
      <c r="G94" s="10" t="str">
        <f aca="false">IF($A94="","",IF($F94&lt;=0,"SIN STOCK",IF($F94&lt;=$D94,"REPONER","OK")))</f>
        <v/>
      </c>
    </row>
    <row r="95" customFormat="false" ht="15" hidden="false" customHeight="false" outlineLevel="0" collapsed="false">
      <c r="A95" s="6"/>
      <c r="B95" s="6"/>
      <c r="C95" s="7"/>
      <c r="D95" s="7"/>
      <c r="E95" s="8"/>
      <c r="F95" s="9" t="str">
        <f aca="false">IF($A95="","",$C95+SUMIFS(Movimientos!$D$5:$D$504,Movimientos!$B$5:$B$504,$A95,Movimientos!$C$5:$C$504,"Entrada")-SUMIFS(Movimientos!$D$5:$D$504,Movimientos!$B$5:$B$504,$A95,Movimientos!$C$5:$C$504,"Salida"))</f>
        <v/>
      </c>
      <c r="G95" s="10" t="str">
        <f aca="false">IF($A95="","",IF($F95&lt;=0,"SIN STOCK",IF($F95&lt;=$D95,"REPONER","OK")))</f>
        <v/>
      </c>
    </row>
    <row r="96" customFormat="false" ht="15" hidden="false" customHeight="false" outlineLevel="0" collapsed="false">
      <c r="A96" s="6"/>
      <c r="B96" s="6"/>
      <c r="C96" s="7"/>
      <c r="D96" s="7"/>
      <c r="E96" s="8"/>
      <c r="F96" s="9" t="str">
        <f aca="false">IF($A96="","",$C96+SUMIFS(Movimientos!$D$5:$D$504,Movimientos!$B$5:$B$504,$A96,Movimientos!$C$5:$C$504,"Entrada")-SUMIFS(Movimientos!$D$5:$D$504,Movimientos!$B$5:$B$504,$A96,Movimientos!$C$5:$C$504,"Salida"))</f>
        <v/>
      </c>
      <c r="G96" s="10" t="str">
        <f aca="false">IF($A96="","",IF($F96&lt;=0,"SIN STOCK",IF($F96&lt;=$D96,"REPONER","OK")))</f>
        <v/>
      </c>
    </row>
    <row r="97" customFormat="false" ht="15" hidden="false" customHeight="false" outlineLevel="0" collapsed="false">
      <c r="A97" s="6"/>
      <c r="B97" s="6"/>
      <c r="C97" s="7"/>
      <c r="D97" s="7"/>
      <c r="E97" s="8"/>
      <c r="F97" s="9" t="str">
        <f aca="false">IF($A97="","",$C97+SUMIFS(Movimientos!$D$5:$D$504,Movimientos!$B$5:$B$504,$A97,Movimientos!$C$5:$C$504,"Entrada")-SUMIFS(Movimientos!$D$5:$D$504,Movimientos!$B$5:$B$504,$A97,Movimientos!$C$5:$C$504,"Salida"))</f>
        <v/>
      </c>
      <c r="G97" s="10" t="str">
        <f aca="false">IF($A97="","",IF($F97&lt;=0,"SIN STOCK",IF($F97&lt;=$D97,"REPONER","OK")))</f>
        <v/>
      </c>
    </row>
    <row r="98" customFormat="false" ht="15" hidden="false" customHeight="false" outlineLevel="0" collapsed="false">
      <c r="A98" s="6"/>
      <c r="B98" s="6"/>
      <c r="C98" s="7"/>
      <c r="D98" s="7"/>
      <c r="E98" s="8"/>
      <c r="F98" s="9" t="str">
        <f aca="false">IF($A98="","",$C98+SUMIFS(Movimientos!$D$5:$D$504,Movimientos!$B$5:$B$504,$A98,Movimientos!$C$5:$C$504,"Entrada")-SUMIFS(Movimientos!$D$5:$D$504,Movimientos!$B$5:$B$504,$A98,Movimientos!$C$5:$C$504,"Salida"))</f>
        <v/>
      </c>
      <c r="G98" s="10" t="str">
        <f aca="false">IF($A98="","",IF($F98&lt;=0,"SIN STOCK",IF($F98&lt;=$D98,"REPONER","OK")))</f>
        <v/>
      </c>
    </row>
    <row r="99" customFormat="false" ht="15" hidden="false" customHeight="false" outlineLevel="0" collapsed="false">
      <c r="A99" s="6"/>
      <c r="B99" s="6"/>
      <c r="C99" s="7"/>
      <c r="D99" s="7"/>
      <c r="E99" s="8"/>
      <c r="F99" s="9" t="str">
        <f aca="false">IF($A99="","",$C99+SUMIFS(Movimientos!$D$5:$D$504,Movimientos!$B$5:$B$504,$A99,Movimientos!$C$5:$C$504,"Entrada")-SUMIFS(Movimientos!$D$5:$D$504,Movimientos!$B$5:$B$504,$A99,Movimientos!$C$5:$C$504,"Salida"))</f>
        <v/>
      </c>
      <c r="G99" s="10" t="str">
        <f aca="false">IF($A99="","",IF($F99&lt;=0,"SIN STOCK",IF($F99&lt;=$D99,"REPONER","OK")))</f>
        <v/>
      </c>
    </row>
    <row r="100" customFormat="false" ht="15" hidden="false" customHeight="false" outlineLevel="0" collapsed="false">
      <c r="A100" s="6"/>
      <c r="B100" s="6"/>
      <c r="C100" s="7"/>
      <c r="D100" s="7"/>
      <c r="E100" s="8"/>
      <c r="F100" s="9" t="str">
        <f aca="false">IF($A100="","",$C100+SUMIFS(Movimientos!$D$5:$D$504,Movimientos!$B$5:$B$504,$A100,Movimientos!$C$5:$C$504,"Entrada")-SUMIFS(Movimientos!$D$5:$D$504,Movimientos!$B$5:$B$504,$A100,Movimientos!$C$5:$C$504,"Salida"))</f>
        <v/>
      </c>
      <c r="G100" s="10" t="str">
        <f aca="false">IF($A100="","",IF($F100&lt;=0,"SIN STOCK",IF($F100&lt;=$D100,"REPONER","OK")))</f>
        <v/>
      </c>
    </row>
    <row r="101" customFormat="false" ht="15" hidden="false" customHeight="false" outlineLevel="0" collapsed="false">
      <c r="A101" s="6"/>
      <c r="B101" s="6"/>
      <c r="C101" s="7"/>
      <c r="D101" s="7"/>
      <c r="E101" s="8"/>
      <c r="F101" s="9" t="str">
        <f aca="false">IF($A101="","",$C101+SUMIFS(Movimientos!$D$5:$D$504,Movimientos!$B$5:$B$504,$A101,Movimientos!$C$5:$C$504,"Entrada")-SUMIFS(Movimientos!$D$5:$D$504,Movimientos!$B$5:$B$504,$A101,Movimientos!$C$5:$C$504,"Salida"))</f>
        <v/>
      </c>
      <c r="G101" s="10" t="str">
        <f aca="false">IF($A101="","",IF($F101&lt;=0,"SIN STOCK",IF($F101&lt;=$D101,"REPONER","OK")))</f>
        <v/>
      </c>
    </row>
    <row r="102" customFormat="false" ht="15" hidden="false" customHeight="false" outlineLevel="0" collapsed="false">
      <c r="A102" s="6"/>
      <c r="B102" s="6"/>
      <c r="C102" s="7"/>
      <c r="D102" s="7"/>
      <c r="E102" s="8"/>
      <c r="F102" s="9" t="str">
        <f aca="false">IF($A102="","",$C102+SUMIFS(Movimientos!$D$5:$D$504,Movimientos!$B$5:$B$504,$A102,Movimientos!$C$5:$C$504,"Entrada")-SUMIFS(Movimientos!$D$5:$D$504,Movimientos!$B$5:$B$504,$A102,Movimientos!$C$5:$C$504,"Salida"))</f>
        <v/>
      </c>
      <c r="G102" s="10" t="str">
        <f aca="false">IF($A102="","",IF($F102&lt;=0,"SIN STOCK",IF($F102&lt;=$D102,"REPONER","OK")))</f>
        <v/>
      </c>
    </row>
    <row r="103" customFormat="false" ht="15" hidden="false" customHeight="false" outlineLevel="0" collapsed="false">
      <c r="A103" s="6"/>
      <c r="B103" s="6"/>
      <c r="C103" s="7"/>
      <c r="D103" s="7"/>
      <c r="E103" s="8"/>
      <c r="F103" s="9" t="str">
        <f aca="false">IF($A103="","",$C103+SUMIFS(Movimientos!$D$5:$D$504,Movimientos!$B$5:$B$504,$A103,Movimientos!$C$5:$C$504,"Entrada")-SUMIFS(Movimientos!$D$5:$D$504,Movimientos!$B$5:$B$504,$A103,Movimientos!$C$5:$C$504,"Salida"))</f>
        <v/>
      </c>
      <c r="G103" s="10" t="str">
        <f aca="false">IF($A103="","",IF($F103&lt;=0,"SIN STOCK",IF($F103&lt;=$D103,"REPONER","OK")))</f>
        <v/>
      </c>
    </row>
    <row r="104" customFormat="false" ht="15" hidden="false" customHeight="false" outlineLevel="0" collapsed="false">
      <c r="A104" s="6"/>
      <c r="B104" s="6"/>
      <c r="C104" s="7"/>
      <c r="D104" s="7"/>
      <c r="E104" s="8"/>
      <c r="F104" s="9" t="str">
        <f aca="false">IF($A104="","",$C104+SUMIFS(Movimientos!$D$5:$D$504,Movimientos!$B$5:$B$504,$A104,Movimientos!$C$5:$C$504,"Entrada")-SUMIFS(Movimientos!$D$5:$D$504,Movimientos!$B$5:$B$504,$A104,Movimientos!$C$5:$C$504,"Salida"))</f>
        <v/>
      </c>
      <c r="G104" s="10" t="str">
        <f aca="false">IF($A104="","",IF($F104&lt;=0,"SIN STOCK",IF($F104&lt;=$D104,"REPONER","OK")))</f>
        <v/>
      </c>
    </row>
  </sheetData>
  <mergeCells count="2">
    <mergeCell ref="A1:G1"/>
    <mergeCell ref="A2:G2"/>
  </mergeCells>
  <conditionalFormatting sqref="G5:G104">
    <cfRule type="cellIs" priority="2" operator="equal" aboveAverage="0" equalAverage="0" bottom="0" percent="0" rank="0" text="" dxfId="0">
      <formula>"REPONER"</formula>
    </cfRule>
    <cfRule type="cellIs" priority="3" operator="equal" aboveAverage="0" equalAverage="0" bottom="0" percent="0" rank="0" text="" dxfId="1">
      <formula>"SIN STOCK"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B5C"/>
    <pageSetUpPr fitToPage="false"/>
  </sheetPr>
  <dimension ref="A1:E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</row>
    <row r="2" customFormat="false" ht="18" hidden="false" customHeight="true" outlineLevel="0" collapsed="false">
      <c r="A2" s="2" t="s">
        <v>32</v>
      </c>
      <c r="B2" s="2"/>
      <c r="C2" s="2"/>
      <c r="D2" s="2"/>
      <c r="E2" s="2"/>
    </row>
    <row r="4" customFormat="false" ht="30" hidden="false" customHeight="true" outlineLevel="0" collapsed="false">
      <c r="A4" s="5" t="s">
        <v>33</v>
      </c>
      <c r="B4" s="5" t="s">
        <v>17</v>
      </c>
      <c r="C4" s="5" t="s">
        <v>34</v>
      </c>
      <c r="D4" s="5" t="s">
        <v>35</v>
      </c>
      <c r="E4" s="5" t="s">
        <v>36</v>
      </c>
    </row>
    <row r="5" customFormat="false" ht="15" hidden="false" customHeight="false" outlineLevel="0" collapsed="false">
      <c r="A5" s="7" t="s">
        <v>37</v>
      </c>
      <c r="B5" s="6" t="s">
        <v>24</v>
      </c>
      <c r="C5" s="7" t="s">
        <v>38</v>
      </c>
      <c r="D5" s="7" t="n">
        <v>24</v>
      </c>
      <c r="E5" s="6" t="s">
        <v>39</v>
      </c>
    </row>
    <row r="6" customFormat="false" ht="15" hidden="false" customHeight="false" outlineLevel="0" collapsed="false">
      <c r="A6" s="7" t="s">
        <v>40</v>
      </c>
      <c r="B6" s="6" t="s">
        <v>24</v>
      </c>
      <c r="C6" s="7" t="s">
        <v>41</v>
      </c>
      <c r="D6" s="7" t="n">
        <v>18</v>
      </c>
      <c r="E6" s="6" t="s">
        <v>42</v>
      </c>
    </row>
    <row r="7" customFormat="false" ht="15" hidden="false" customHeight="false" outlineLevel="0" collapsed="false">
      <c r="A7" s="7"/>
      <c r="B7" s="6"/>
      <c r="C7" s="7"/>
      <c r="D7" s="7"/>
      <c r="E7" s="6"/>
    </row>
    <row r="8" customFormat="false" ht="15" hidden="false" customHeight="false" outlineLevel="0" collapsed="false">
      <c r="A8" s="7"/>
      <c r="B8" s="6"/>
      <c r="C8" s="7"/>
      <c r="D8" s="7"/>
      <c r="E8" s="6"/>
    </row>
    <row r="9" customFormat="false" ht="15" hidden="false" customHeight="false" outlineLevel="0" collapsed="false">
      <c r="A9" s="7"/>
      <c r="B9" s="6"/>
      <c r="C9" s="7"/>
      <c r="D9" s="7"/>
      <c r="E9" s="6"/>
    </row>
    <row r="10" customFormat="false" ht="15" hidden="false" customHeight="false" outlineLevel="0" collapsed="false">
      <c r="A10" s="7"/>
      <c r="B10" s="6"/>
      <c r="C10" s="7"/>
      <c r="D10" s="7"/>
      <c r="E10" s="6"/>
    </row>
    <row r="11" customFormat="false" ht="15" hidden="false" customHeight="false" outlineLevel="0" collapsed="false">
      <c r="A11" s="7"/>
      <c r="B11" s="6"/>
      <c r="C11" s="7"/>
      <c r="D11" s="7"/>
      <c r="E11" s="6"/>
    </row>
    <row r="12" customFormat="false" ht="15" hidden="false" customHeight="false" outlineLevel="0" collapsed="false">
      <c r="A12" s="7"/>
      <c r="B12" s="6"/>
      <c r="C12" s="7"/>
      <c r="D12" s="7"/>
      <c r="E12" s="6"/>
    </row>
    <row r="13" customFormat="false" ht="15" hidden="false" customHeight="false" outlineLevel="0" collapsed="false">
      <c r="A13" s="7"/>
      <c r="B13" s="6"/>
      <c r="C13" s="7"/>
      <c r="D13" s="7"/>
      <c r="E13" s="6"/>
    </row>
    <row r="14" customFormat="false" ht="15" hidden="false" customHeight="false" outlineLevel="0" collapsed="false">
      <c r="A14" s="7"/>
      <c r="B14" s="6"/>
      <c r="C14" s="7"/>
      <c r="D14" s="7"/>
      <c r="E14" s="6"/>
    </row>
    <row r="15" customFormat="false" ht="15" hidden="false" customHeight="false" outlineLevel="0" collapsed="false">
      <c r="A15" s="7"/>
      <c r="B15" s="6"/>
      <c r="C15" s="7"/>
      <c r="D15" s="7"/>
      <c r="E15" s="6"/>
    </row>
    <row r="16" customFormat="false" ht="15" hidden="false" customHeight="false" outlineLevel="0" collapsed="false">
      <c r="A16" s="7"/>
      <c r="B16" s="6"/>
      <c r="C16" s="7"/>
      <c r="D16" s="7"/>
      <c r="E16" s="6"/>
    </row>
    <row r="17" customFormat="false" ht="15" hidden="false" customHeight="false" outlineLevel="0" collapsed="false">
      <c r="A17" s="7"/>
      <c r="B17" s="6"/>
      <c r="C17" s="7"/>
      <c r="D17" s="7"/>
      <c r="E17" s="6"/>
    </row>
    <row r="18" customFormat="false" ht="15" hidden="false" customHeight="false" outlineLevel="0" collapsed="false">
      <c r="A18" s="7"/>
      <c r="B18" s="6"/>
      <c r="C18" s="7"/>
      <c r="D18" s="7"/>
      <c r="E18" s="6"/>
    </row>
    <row r="19" customFormat="false" ht="15" hidden="false" customHeight="false" outlineLevel="0" collapsed="false">
      <c r="A19" s="7"/>
      <c r="B19" s="6"/>
      <c r="C19" s="7"/>
      <c r="D19" s="7"/>
      <c r="E19" s="6"/>
    </row>
    <row r="20" customFormat="false" ht="15" hidden="false" customHeight="false" outlineLevel="0" collapsed="false">
      <c r="A20" s="7"/>
      <c r="B20" s="6"/>
      <c r="C20" s="7"/>
      <c r="D20" s="7"/>
      <c r="E20" s="6"/>
    </row>
    <row r="21" customFormat="false" ht="15" hidden="false" customHeight="false" outlineLevel="0" collapsed="false">
      <c r="A21" s="7"/>
      <c r="B21" s="6"/>
      <c r="C21" s="7"/>
      <c r="D21" s="7"/>
      <c r="E21" s="6"/>
    </row>
    <row r="22" customFormat="false" ht="15" hidden="false" customHeight="false" outlineLevel="0" collapsed="false">
      <c r="A22" s="7"/>
      <c r="B22" s="6"/>
      <c r="C22" s="7"/>
      <c r="D22" s="7"/>
      <c r="E22" s="6"/>
    </row>
    <row r="23" customFormat="false" ht="15" hidden="false" customHeight="false" outlineLevel="0" collapsed="false">
      <c r="A23" s="7"/>
      <c r="B23" s="6"/>
      <c r="C23" s="7"/>
      <c r="D23" s="7"/>
      <c r="E23" s="6"/>
    </row>
    <row r="24" customFormat="false" ht="15" hidden="false" customHeight="false" outlineLevel="0" collapsed="false">
      <c r="A24" s="7"/>
      <c r="B24" s="6"/>
      <c r="C24" s="7"/>
      <c r="D24" s="7"/>
      <c r="E24" s="6"/>
    </row>
    <row r="25" customFormat="false" ht="15" hidden="false" customHeight="false" outlineLevel="0" collapsed="false">
      <c r="A25" s="7"/>
      <c r="B25" s="6"/>
      <c r="C25" s="7"/>
      <c r="D25" s="7"/>
      <c r="E25" s="6"/>
    </row>
    <row r="26" customFormat="false" ht="15" hidden="false" customHeight="false" outlineLevel="0" collapsed="false">
      <c r="A26" s="7"/>
      <c r="B26" s="6"/>
      <c r="C26" s="7"/>
      <c r="D26" s="7"/>
      <c r="E26" s="6"/>
    </row>
    <row r="27" customFormat="false" ht="15" hidden="false" customHeight="false" outlineLevel="0" collapsed="false">
      <c r="A27" s="7"/>
      <c r="B27" s="6"/>
      <c r="C27" s="7"/>
      <c r="D27" s="7"/>
      <c r="E27" s="6"/>
    </row>
    <row r="28" customFormat="false" ht="15" hidden="false" customHeight="false" outlineLevel="0" collapsed="false">
      <c r="A28" s="7"/>
      <c r="B28" s="6"/>
      <c r="C28" s="7"/>
      <c r="D28" s="7"/>
      <c r="E28" s="6"/>
    </row>
    <row r="29" customFormat="false" ht="15" hidden="false" customHeight="false" outlineLevel="0" collapsed="false">
      <c r="A29" s="7"/>
      <c r="B29" s="6"/>
      <c r="C29" s="7"/>
      <c r="D29" s="7"/>
      <c r="E29" s="6"/>
    </row>
    <row r="30" customFormat="false" ht="15" hidden="false" customHeight="false" outlineLevel="0" collapsed="false">
      <c r="A30" s="7"/>
      <c r="B30" s="6"/>
      <c r="C30" s="7"/>
      <c r="D30" s="7"/>
      <c r="E30" s="6"/>
    </row>
    <row r="31" customFormat="false" ht="15" hidden="false" customHeight="false" outlineLevel="0" collapsed="false">
      <c r="A31" s="7"/>
      <c r="B31" s="6"/>
      <c r="C31" s="7"/>
      <c r="D31" s="7"/>
      <c r="E31" s="6"/>
    </row>
    <row r="32" customFormat="false" ht="15" hidden="false" customHeight="false" outlineLevel="0" collapsed="false">
      <c r="A32" s="7"/>
      <c r="B32" s="6"/>
      <c r="C32" s="7"/>
      <c r="D32" s="7"/>
      <c r="E32" s="6"/>
    </row>
    <row r="33" customFormat="false" ht="15" hidden="false" customHeight="false" outlineLevel="0" collapsed="false">
      <c r="A33" s="7"/>
      <c r="B33" s="6"/>
      <c r="C33" s="7"/>
      <c r="D33" s="7"/>
      <c r="E33" s="6"/>
    </row>
    <row r="34" customFormat="false" ht="15" hidden="false" customHeight="false" outlineLevel="0" collapsed="false">
      <c r="A34" s="7"/>
      <c r="B34" s="6"/>
      <c r="C34" s="7"/>
      <c r="D34" s="7"/>
      <c r="E34" s="6"/>
    </row>
    <row r="35" customFormat="false" ht="15" hidden="false" customHeight="false" outlineLevel="0" collapsed="false">
      <c r="A35" s="7"/>
      <c r="B35" s="6"/>
      <c r="C35" s="7"/>
      <c r="D35" s="7"/>
      <c r="E35" s="6"/>
    </row>
    <row r="36" customFormat="false" ht="15" hidden="false" customHeight="false" outlineLevel="0" collapsed="false">
      <c r="A36" s="7"/>
      <c r="B36" s="6"/>
      <c r="C36" s="7"/>
      <c r="D36" s="7"/>
      <c r="E36" s="6"/>
    </row>
    <row r="37" customFormat="false" ht="15" hidden="false" customHeight="false" outlineLevel="0" collapsed="false">
      <c r="A37" s="7"/>
      <c r="B37" s="6"/>
      <c r="C37" s="7"/>
      <c r="D37" s="7"/>
      <c r="E37" s="6"/>
    </row>
    <row r="38" customFormat="false" ht="15" hidden="false" customHeight="false" outlineLevel="0" collapsed="false">
      <c r="A38" s="7"/>
      <c r="B38" s="6"/>
      <c r="C38" s="7"/>
      <c r="D38" s="7"/>
      <c r="E38" s="6"/>
    </row>
    <row r="39" customFormat="false" ht="15" hidden="false" customHeight="false" outlineLevel="0" collapsed="false">
      <c r="A39" s="7"/>
      <c r="B39" s="6"/>
      <c r="C39" s="7"/>
      <c r="D39" s="7"/>
      <c r="E39" s="6"/>
    </row>
    <row r="40" customFormat="false" ht="15" hidden="false" customHeight="false" outlineLevel="0" collapsed="false">
      <c r="A40" s="7"/>
      <c r="B40" s="6"/>
      <c r="C40" s="7"/>
      <c r="D40" s="7"/>
      <c r="E40" s="6"/>
    </row>
    <row r="41" customFormat="false" ht="15" hidden="false" customHeight="false" outlineLevel="0" collapsed="false">
      <c r="A41" s="7"/>
      <c r="B41" s="6"/>
      <c r="C41" s="7"/>
      <c r="D41" s="7"/>
      <c r="E41" s="6"/>
    </row>
    <row r="42" customFormat="false" ht="15" hidden="false" customHeight="false" outlineLevel="0" collapsed="false">
      <c r="A42" s="7"/>
      <c r="B42" s="6"/>
      <c r="C42" s="7"/>
      <c r="D42" s="7"/>
      <c r="E42" s="6"/>
    </row>
    <row r="43" customFormat="false" ht="15" hidden="false" customHeight="false" outlineLevel="0" collapsed="false">
      <c r="A43" s="7"/>
      <c r="B43" s="6"/>
      <c r="C43" s="7"/>
      <c r="D43" s="7"/>
      <c r="E43" s="6"/>
    </row>
    <row r="44" customFormat="false" ht="15" hidden="false" customHeight="false" outlineLevel="0" collapsed="false">
      <c r="A44" s="7"/>
      <c r="B44" s="6"/>
      <c r="C44" s="7"/>
      <c r="D44" s="7"/>
      <c r="E44" s="6"/>
    </row>
    <row r="45" customFormat="false" ht="15" hidden="false" customHeight="false" outlineLevel="0" collapsed="false">
      <c r="A45" s="7"/>
      <c r="B45" s="6"/>
      <c r="C45" s="7"/>
      <c r="D45" s="7"/>
      <c r="E45" s="6"/>
    </row>
    <row r="46" customFormat="false" ht="15" hidden="false" customHeight="false" outlineLevel="0" collapsed="false">
      <c r="A46" s="7"/>
      <c r="B46" s="6"/>
      <c r="C46" s="7"/>
      <c r="D46" s="7"/>
      <c r="E46" s="6"/>
    </row>
    <row r="47" customFormat="false" ht="15" hidden="false" customHeight="false" outlineLevel="0" collapsed="false">
      <c r="A47" s="7"/>
      <c r="B47" s="6"/>
      <c r="C47" s="7"/>
      <c r="D47" s="7"/>
      <c r="E47" s="6"/>
    </row>
    <row r="48" customFormat="false" ht="15" hidden="false" customHeight="false" outlineLevel="0" collapsed="false">
      <c r="A48" s="7"/>
      <c r="B48" s="6"/>
      <c r="C48" s="7"/>
      <c r="D48" s="7"/>
      <c r="E48" s="6"/>
    </row>
    <row r="49" customFormat="false" ht="15" hidden="false" customHeight="false" outlineLevel="0" collapsed="false">
      <c r="A49" s="7"/>
      <c r="B49" s="6"/>
      <c r="C49" s="7"/>
      <c r="D49" s="7"/>
      <c r="E49" s="6"/>
    </row>
    <row r="50" customFormat="false" ht="15" hidden="false" customHeight="false" outlineLevel="0" collapsed="false">
      <c r="A50" s="7"/>
      <c r="B50" s="6"/>
      <c r="C50" s="7"/>
      <c r="D50" s="7"/>
      <c r="E50" s="6"/>
    </row>
    <row r="51" customFormat="false" ht="15" hidden="false" customHeight="false" outlineLevel="0" collapsed="false">
      <c r="A51" s="7"/>
      <c r="B51" s="6"/>
      <c r="C51" s="7"/>
      <c r="D51" s="7"/>
      <c r="E51" s="6"/>
    </row>
    <row r="52" customFormat="false" ht="15" hidden="false" customHeight="false" outlineLevel="0" collapsed="false">
      <c r="A52" s="7"/>
      <c r="B52" s="6"/>
      <c r="C52" s="7"/>
      <c r="D52" s="7"/>
      <c r="E52" s="6"/>
    </row>
    <row r="53" customFormat="false" ht="15" hidden="false" customHeight="false" outlineLevel="0" collapsed="false">
      <c r="A53" s="7"/>
      <c r="B53" s="6"/>
      <c r="C53" s="7"/>
      <c r="D53" s="7"/>
      <c r="E53" s="6"/>
    </row>
    <row r="54" customFormat="false" ht="15" hidden="false" customHeight="false" outlineLevel="0" collapsed="false">
      <c r="A54" s="7"/>
      <c r="B54" s="6"/>
      <c r="C54" s="7"/>
      <c r="D54" s="7"/>
      <c r="E54" s="6"/>
    </row>
    <row r="55" customFormat="false" ht="15" hidden="false" customHeight="false" outlineLevel="0" collapsed="false">
      <c r="A55" s="7"/>
      <c r="B55" s="6"/>
      <c r="C55" s="7"/>
      <c r="D55" s="7"/>
      <c r="E55" s="6"/>
    </row>
    <row r="56" customFormat="false" ht="15" hidden="false" customHeight="false" outlineLevel="0" collapsed="false">
      <c r="A56" s="7"/>
      <c r="B56" s="6"/>
      <c r="C56" s="7"/>
      <c r="D56" s="7"/>
      <c r="E56" s="6"/>
    </row>
    <row r="57" customFormat="false" ht="15" hidden="false" customHeight="false" outlineLevel="0" collapsed="false">
      <c r="A57" s="7"/>
      <c r="B57" s="6"/>
      <c r="C57" s="7"/>
      <c r="D57" s="7"/>
      <c r="E57" s="6"/>
    </row>
    <row r="58" customFormat="false" ht="15" hidden="false" customHeight="false" outlineLevel="0" collapsed="false">
      <c r="A58" s="7"/>
      <c r="B58" s="6"/>
      <c r="C58" s="7"/>
      <c r="D58" s="7"/>
      <c r="E58" s="6"/>
    </row>
    <row r="59" customFormat="false" ht="15" hidden="false" customHeight="false" outlineLevel="0" collapsed="false">
      <c r="A59" s="7"/>
      <c r="B59" s="6"/>
      <c r="C59" s="7"/>
      <c r="D59" s="7"/>
      <c r="E59" s="6"/>
    </row>
    <row r="60" customFormat="false" ht="15" hidden="false" customHeight="false" outlineLevel="0" collapsed="false">
      <c r="A60" s="7"/>
      <c r="B60" s="6"/>
      <c r="C60" s="7"/>
      <c r="D60" s="7"/>
      <c r="E60" s="6"/>
    </row>
    <row r="61" customFormat="false" ht="15" hidden="false" customHeight="false" outlineLevel="0" collapsed="false">
      <c r="A61" s="7"/>
      <c r="B61" s="6"/>
      <c r="C61" s="7"/>
      <c r="D61" s="7"/>
      <c r="E61" s="6"/>
    </row>
    <row r="62" customFormat="false" ht="15" hidden="false" customHeight="false" outlineLevel="0" collapsed="false">
      <c r="A62" s="7"/>
      <c r="B62" s="6"/>
      <c r="C62" s="7"/>
      <c r="D62" s="7"/>
      <c r="E62" s="6"/>
    </row>
    <row r="63" customFormat="false" ht="15" hidden="false" customHeight="false" outlineLevel="0" collapsed="false">
      <c r="A63" s="7"/>
      <c r="B63" s="6"/>
      <c r="C63" s="7"/>
      <c r="D63" s="7"/>
      <c r="E63" s="6"/>
    </row>
    <row r="64" customFormat="false" ht="15" hidden="false" customHeight="false" outlineLevel="0" collapsed="false">
      <c r="A64" s="7"/>
      <c r="B64" s="6"/>
      <c r="C64" s="7"/>
      <c r="D64" s="7"/>
      <c r="E64" s="6"/>
    </row>
    <row r="65" customFormat="false" ht="15" hidden="false" customHeight="false" outlineLevel="0" collapsed="false">
      <c r="A65" s="7"/>
      <c r="B65" s="6"/>
      <c r="C65" s="7"/>
      <c r="D65" s="7"/>
      <c r="E65" s="6"/>
    </row>
    <row r="66" customFormat="false" ht="15" hidden="false" customHeight="false" outlineLevel="0" collapsed="false">
      <c r="A66" s="7"/>
      <c r="B66" s="6"/>
      <c r="C66" s="7"/>
      <c r="D66" s="7"/>
      <c r="E66" s="6"/>
    </row>
    <row r="67" customFormat="false" ht="15" hidden="false" customHeight="false" outlineLevel="0" collapsed="false">
      <c r="A67" s="7"/>
      <c r="B67" s="6"/>
      <c r="C67" s="7"/>
      <c r="D67" s="7"/>
      <c r="E67" s="6"/>
    </row>
    <row r="68" customFormat="false" ht="15" hidden="false" customHeight="false" outlineLevel="0" collapsed="false">
      <c r="A68" s="7"/>
      <c r="B68" s="6"/>
      <c r="C68" s="7"/>
      <c r="D68" s="7"/>
      <c r="E68" s="6"/>
    </row>
    <row r="69" customFormat="false" ht="15" hidden="false" customHeight="false" outlineLevel="0" collapsed="false">
      <c r="A69" s="7"/>
      <c r="B69" s="6"/>
      <c r="C69" s="7"/>
      <c r="D69" s="7"/>
      <c r="E69" s="6"/>
    </row>
    <row r="70" customFormat="false" ht="15" hidden="false" customHeight="false" outlineLevel="0" collapsed="false">
      <c r="A70" s="7"/>
      <c r="B70" s="6"/>
      <c r="C70" s="7"/>
      <c r="D70" s="7"/>
      <c r="E70" s="6"/>
    </row>
    <row r="71" customFormat="false" ht="15" hidden="false" customHeight="false" outlineLevel="0" collapsed="false">
      <c r="A71" s="7"/>
      <c r="B71" s="6"/>
      <c r="C71" s="7"/>
      <c r="D71" s="7"/>
      <c r="E71" s="6"/>
    </row>
    <row r="72" customFormat="false" ht="15" hidden="false" customHeight="false" outlineLevel="0" collapsed="false">
      <c r="A72" s="7"/>
      <c r="B72" s="6"/>
      <c r="C72" s="7"/>
      <c r="D72" s="7"/>
      <c r="E72" s="6"/>
    </row>
    <row r="73" customFormat="false" ht="15" hidden="false" customHeight="false" outlineLevel="0" collapsed="false">
      <c r="A73" s="7"/>
      <c r="B73" s="6"/>
      <c r="C73" s="7"/>
      <c r="D73" s="7"/>
      <c r="E73" s="6"/>
    </row>
    <row r="74" customFormat="false" ht="15" hidden="false" customHeight="false" outlineLevel="0" collapsed="false">
      <c r="A74" s="7"/>
      <c r="B74" s="6"/>
      <c r="C74" s="7"/>
      <c r="D74" s="7"/>
      <c r="E74" s="6"/>
    </row>
    <row r="75" customFormat="false" ht="15" hidden="false" customHeight="false" outlineLevel="0" collapsed="false">
      <c r="A75" s="7"/>
      <c r="B75" s="6"/>
      <c r="C75" s="7"/>
      <c r="D75" s="7"/>
      <c r="E75" s="6"/>
    </row>
    <row r="76" customFormat="false" ht="15" hidden="false" customHeight="false" outlineLevel="0" collapsed="false">
      <c r="A76" s="7"/>
      <c r="B76" s="6"/>
      <c r="C76" s="7"/>
      <c r="D76" s="7"/>
      <c r="E76" s="6"/>
    </row>
    <row r="77" customFormat="false" ht="15" hidden="false" customHeight="false" outlineLevel="0" collapsed="false">
      <c r="A77" s="7"/>
      <c r="B77" s="6"/>
      <c r="C77" s="7"/>
      <c r="D77" s="7"/>
      <c r="E77" s="6"/>
    </row>
    <row r="78" customFormat="false" ht="15" hidden="false" customHeight="false" outlineLevel="0" collapsed="false">
      <c r="A78" s="7"/>
      <c r="B78" s="6"/>
      <c r="C78" s="7"/>
      <c r="D78" s="7"/>
      <c r="E78" s="6"/>
    </row>
    <row r="79" customFormat="false" ht="15" hidden="false" customHeight="false" outlineLevel="0" collapsed="false">
      <c r="A79" s="7"/>
      <c r="B79" s="6"/>
      <c r="C79" s="7"/>
      <c r="D79" s="7"/>
      <c r="E79" s="6"/>
    </row>
    <row r="80" customFormat="false" ht="15" hidden="false" customHeight="false" outlineLevel="0" collapsed="false">
      <c r="A80" s="7"/>
      <c r="B80" s="6"/>
      <c r="C80" s="7"/>
      <c r="D80" s="7"/>
      <c r="E80" s="6"/>
    </row>
    <row r="81" customFormat="false" ht="15" hidden="false" customHeight="false" outlineLevel="0" collapsed="false">
      <c r="A81" s="7"/>
      <c r="B81" s="6"/>
      <c r="C81" s="7"/>
      <c r="D81" s="7"/>
      <c r="E81" s="6"/>
    </row>
    <row r="82" customFormat="false" ht="15" hidden="false" customHeight="false" outlineLevel="0" collapsed="false">
      <c r="A82" s="7"/>
      <c r="B82" s="6"/>
      <c r="C82" s="7"/>
      <c r="D82" s="7"/>
      <c r="E82" s="6"/>
    </row>
    <row r="83" customFormat="false" ht="15" hidden="false" customHeight="false" outlineLevel="0" collapsed="false">
      <c r="A83" s="7"/>
      <c r="B83" s="6"/>
      <c r="C83" s="7"/>
      <c r="D83" s="7"/>
      <c r="E83" s="6"/>
    </row>
    <row r="84" customFormat="false" ht="15" hidden="false" customHeight="false" outlineLevel="0" collapsed="false">
      <c r="A84" s="7"/>
      <c r="B84" s="6"/>
      <c r="C84" s="7"/>
      <c r="D84" s="7"/>
      <c r="E84" s="6"/>
    </row>
    <row r="85" customFormat="false" ht="15" hidden="false" customHeight="false" outlineLevel="0" collapsed="false">
      <c r="A85" s="7"/>
      <c r="B85" s="6"/>
      <c r="C85" s="7"/>
      <c r="D85" s="7"/>
      <c r="E85" s="6"/>
    </row>
    <row r="86" customFormat="false" ht="15" hidden="false" customHeight="false" outlineLevel="0" collapsed="false">
      <c r="A86" s="7"/>
      <c r="B86" s="6"/>
      <c r="C86" s="7"/>
      <c r="D86" s="7"/>
      <c r="E86" s="6"/>
    </row>
    <row r="87" customFormat="false" ht="15" hidden="false" customHeight="false" outlineLevel="0" collapsed="false">
      <c r="A87" s="7"/>
      <c r="B87" s="6"/>
      <c r="C87" s="7"/>
      <c r="D87" s="7"/>
      <c r="E87" s="6"/>
    </row>
    <row r="88" customFormat="false" ht="15" hidden="false" customHeight="false" outlineLevel="0" collapsed="false">
      <c r="A88" s="7"/>
      <c r="B88" s="6"/>
      <c r="C88" s="7"/>
      <c r="D88" s="7"/>
      <c r="E88" s="6"/>
    </row>
    <row r="89" customFormat="false" ht="15" hidden="false" customHeight="false" outlineLevel="0" collapsed="false">
      <c r="A89" s="7"/>
      <c r="B89" s="6"/>
      <c r="C89" s="7"/>
      <c r="D89" s="7"/>
      <c r="E89" s="6"/>
    </row>
    <row r="90" customFormat="false" ht="15" hidden="false" customHeight="false" outlineLevel="0" collapsed="false">
      <c r="A90" s="7"/>
      <c r="B90" s="6"/>
      <c r="C90" s="7"/>
      <c r="D90" s="7"/>
      <c r="E90" s="6"/>
    </row>
    <row r="91" customFormat="false" ht="15" hidden="false" customHeight="false" outlineLevel="0" collapsed="false">
      <c r="A91" s="7"/>
      <c r="B91" s="6"/>
      <c r="C91" s="7"/>
      <c r="D91" s="7"/>
      <c r="E91" s="6"/>
    </row>
    <row r="92" customFormat="false" ht="15" hidden="false" customHeight="false" outlineLevel="0" collapsed="false">
      <c r="A92" s="7"/>
      <c r="B92" s="6"/>
      <c r="C92" s="7"/>
      <c r="D92" s="7"/>
      <c r="E92" s="6"/>
    </row>
    <row r="93" customFormat="false" ht="15" hidden="false" customHeight="false" outlineLevel="0" collapsed="false">
      <c r="A93" s="7"/>
      <c r="B93" s="6"/>
      <c r="C93" s="7"/>
      <c r="D93" s="7"/>
      <c r="E93" s="6"/>
    </row>
    <row r="94" customFormat="false" ht="15" hidden="false" customHeight="false" outlineLevel="0" collapsed="false">
      <c r="A94" s="7"/>
      <c r="B94" s="6"/>
      <c r="C94" s="7"/>
      <c r="D94" s="7"/>
      <c r="E94" s="6"/>
    </row>
    <row r="95" customFormat="false" ht="15" hidden="false" customHeight="false" outlineLevel="0" collapsed="false">
      <c r="A95" s="7"/>
      <c r="B95" s="6"/>
      <c r="C95" s="7"/>
      <c r="D95" s="7"/>
      <c r="E95" s="6"/>
    </row>
    <row r="96" customFormat="false" ht="15" hidden="false" customHeight="false" outlineLevel="0" collapsed="false">
      <c r="A96" s="7"/>
      <c r="B96" s="6"/>
      <c r="C96" s="7"/>
      <c r="D96" s="7"/>
      <c r="E96" s="6"/>
    </row>
    <row r="97" customFormat="false" ht="15" hidden="false" customHeight="false" outlineLevel="0" collapsed="false">
      <c r="A97" s="7"/>
      <c r="B97" s="6"/>
      <c r="C97" s="7"/>
      <c r="D97" s="7"/>
      <c r="E97" s="6"/>
    </row>
    <row r="98" customFormat="false" ht="15" hidden="false" customHeight="false" outlineLevel="0" collapsed="false">
      <c r="A98" s="7"/>
      <c r="B98" s="6"/>
      <c r="C98" s="7"/>
      <c r="D98" s="7"/>
      <c r="E98" s="6"/>
    </row>
    <row r="99" customFormat="false" ht="15" hidden="false" customHeight="false" outlineLevel="0" collapsed="false">
      <c r="A99" s="7"/>
      <c r="B99" s="6"/>
      <c r="C99" s="7"/>
      <c r="D99" s="7"/>
      <c r="E99" s="6"/>
    </row>
    <row r="100" customFormat="false" ht="15" hidden="false" customHeight="false" outlineLevel="0" collapsed="false">
      <c r="A100" s="7"/>
      <c r="B100" s="6"/>
      <c r="C100" s="7"/>
      <c r="D100" s="7"/>
      <c r="E100" s="6"/>
    </row>
    <row r="101" customFormat="false" ht="15" hidden="false" customHeight="false" outlineLevel="0" collapsed="false">
      <c r="A101" s="7"/>
      <c r="B101" s="6"/>
      <c r="C101" s="7"/>
      <c r="D101" s="7"/>
      <c r="E101" s="6"/>
    </row>
    <row r="102" customFormat="false" ht="15" hidden="false" customHeight="false" outlineLevel="0" collapsed="false">
      <c r="A102" s="7"/>
      <c r="B102" s="6"/>
      <c r="C102" s="7"/>
      <c r="D102" s="7"/>
      <c r="E102" s="6"/>
    </row>
    <row r="103" customFormat="false" ht="15" hidden="false" customHeight="false" outlineLevel="0" collapsed="false">
      <c r="A103" s="7"/>
      <c r="B103" s="6"/>
      <c r="C103" s="7"/>
      <c r="D103" s="7"/>
      <c r="E103" s="6"/>
    </row>
    <row r="104" customFormat="false" ht="15" hidden="false" customHeight="false" outlineLevel="0" collapsed="false">
      <c r="A104" s="7"/>
      <c r="B104" s="6"/>
      <c r="C104" s="7"/>
      <c r="D104" s="7"/>
      <c r="E104" s="6"/>
    </row>
    <row r="105" customFormat="false" ht="15" hidden="false" customHeight="false" outlineLevel="0" collapsed="false">
      <c r="A105" s="7"/>
      <c r="B105" s="6"/>
      <c r="C105" s="7"/>
      <c r="D105" s="7"/>
      <c r="E105" s="6"/>
    </row>
    <row r="106" customFormat="false" ht="15" hidden="false" customHeight="false" outlineLevel="0" collapsed="false">
      <c r="A106" s="7"/>
      <c r="B106" s="6"/>
      <c r="C106" s="7"/>
      <c r="D106" s="7"/>
      <c r="E106" s="6"/>
    </row>
    <row r="107" customFormat="false" ht="15" hidden="false" customHeight="false" outlineLevel="0" collapsed="false">
      <c r="A107" s="7"/>
      <c r="B107" s="6"/>
      <c r="C107" s="7"/>
      <c r="D107" s="7"/>
      <c r="E107" s="6"/>
    </row>
    <row r="108" customFormat="false" ht="15" hidden="false" customHeight="false" outlineLevel="0" collapsed="false">
      <c r="A108" s="7"/>
      <c r="B108" s="6"/>
      <c r="C108" s="7"/>
      <c r="D108" s="7"/>
      <c r="E108" s="6"/>
    </row>
    <row r="109" customFormat="false" ht="15" hidden="false" customHeight="false" outlineLevel="0" collapsed="false">
      <c r="A109" s="7"/>
      <c r="B109" s="6"/>
      <c r="C109" s="7"/>
      <c r="D109" s="7"/>
      <c r="E109" s="6"/>
    </row>
    <row r="110" customFormat="false" ht="15" hidden="false" customHeight="false" outlineLevel="0" collapsed="false">
      <c r="A110" s="7"/>
      <c r="B110" s="6"/>
      <c r="C110" s="7"/>
      <c r="D110" s="7"/>
      <c r="E110" s="6"/>
    </row>
    <row r="111" customFormat="false" ht="15" hidden="false" customHeight="false" outlineLevel="0" collapsed="false">
      <c r="A111" s="7"/>
      <c r="B111" s="6"/>
      <c r="C111" s="7"/>
      <c r="D111" s="7"/>
      <c r="E111" s="6"/>
    </row>
    <row r="112" customFormat="false" ht="15" hidden="false" customHeight="false" outlineLevel="0" collapsed="false">
      <c r="A112" s="7"/>
      <c r="B112" s="6"/>
      <c r="C112" s="7"/>
      <c r="D112" s="7"/>
      <c r="E112" s="6"/>
    </row>
    <row r="113" customFormat="false" ht="15" hidden="false" customHeight="false" outlineLevel="0" collapsed="false">
      <c r="A113" s="7"/>
      <c r="B113" s="6"/>
      <c r="C113" s="7"/>
      <c r="D113" s="7"/>
      <c r="E113" s="6"/>
    </row>
    <row r="114" customFormat="false" ht="15" hidden="false" customHeight="false" outlineLevel="0" collapsed="false">
      <c r="A114" s="7"/>
      <c r="B114" s="6"/>
      <c r="C114" s="7"/>
      <c r="D114" s="7"/>
      <c r="E114" s="6"/>
    </row>
    <row r="115" customFormat="false" ht="15" hidden="false" customHeight="false" outlineLevel="0" collapsed="false">
      <c r="A115" s="7"/>
      <c r="B115" s="6"/>
      <c r="C115" s="7"/>
      <c r="D115" s="7"/>
      <c r="E115" s="6"/>
    </row>
    <row r="116" customFormat="false" ht="15" hidden="false" customHeight="false" outlineLevel="0" collapsed="false">
      <c r="A116" s="7"/>
      <c r="B116" s="6"/>
      <c r="C116" s="7"/>
      <c r="D116" s="7"/>
      <c r="E116" s="6"/>
    </row>
    <row r="117" customFormat="false" ht="15" hidden="false" customHeight="false" outlineLevel="0" collapsed="false">
      <c r="A117" s="7"/>
      <c r="B117" s="6"/>
      <c r="C117" s="7"/>
      <c r="D117" s="7"/>
      <c r="E117" s="6"/>
    </row>
    <row r="118" customFormat="false" ht="15" hidden="false" customHeight="false" outlineLevel="0" collapsed="false">
      <c r="A118" s="7"/>
      <c r="B118" s="6"/>
      <c r="C118" s="7"/>
      <c r="D118" s="7"/>
      <c r="E118" s="6"/>
    </row>
    <row r="119" customFormat="false" ht="15" hidden="false" customHeight="false" outlineLevel="0" collapsed="false">
      <c r="A119" s="7"/>
      <c r="B119" s="6"/>
      <c r="C119" s="7"/>
      <c r="D119" s="7"/>
      <c r="E119" s="6"/>
    </row>
    <row r="120" customFormat="false" ht="15" hidden="false" customHeight="false" outlineLevel="0" collapsed="false">
      <c r="A120" s="7"/>
      <c r="B120" s="6"/>
      <c r="C120" s="7"/>
      <c r="D120" s="7"/>
      <c r="E120" s="6"/>
    </row>
    <row r="121" customFormat="false" ht="15" hidden="false" customHeight="false" outlineLevel="0" collapsed="false">
      <c r="A121" s="7"/>
      <c r="B121" s="6"/>
      <c r="C121" s="7"/>
      <c r="D121" s="7"/>
      <c r="E121" s="6"/>
    </row>
    <row r="122" customFormat="false" ht="15" hidden="false" customHeight="false" outlineLevel="0" collapsed="false">
      <c r="A122" s="7"/>
      <c r="B122" s="6"/>
      <c r="C122" s="7"/>
      <c r="D122" s="7"/>
      <c r="E122" s="6"/>
    </row>
    <row r="123" customFormat="false" ht="15" hidden="false" customHeight="false" outlineLevel="0" collapsed="false">
      <c r="A123" s="7"/>
      <c r="B123" s="6"/>
      <c r="C123" s="7"/>
      <c r="D123" s="7"/>
      <c r="E123" s="6"/>
    </row>
    <row r="124" customFormat="false" ht="15" hidden="false" customHeight="false" outlineLevel="0" collapsed="false">
      <c r="A124" s="7"/>
      <c r="B124" s="6"/>
      <c r="C124" s="7"/>
      <c r="D124" s="7"/>
      <c r="E124" s="6"/>
    </row>
    <row r="125" customFormat="false" ht="15" hidden="false" customHeight="false" outlineLevel="0" collapsed="false">
      <c r="A125" s="7"/>
      <c r="B125" s="6"/>
      <c r="C125" s="7"/>
      <c r="D125" s="7"/>
      <c r="E125" s="6"/>
    </row>
    <row r="126" customFormat="false" ht="15" hidden="false" customHeight="false" outlineLevel="0" collapsed="false">
      <c r="A126" s="7"/>
      <c r="B126" s="6"/>
      <c r="C126" s="7"/>
      <c r="D126" s="7"/>
      <c r="E126" s="6"/>
    </row>
    <row r="127" customFormat="false" ht="15" hidden="false" customHeight="false" outlineLevel="0" collapsed="false">
      <c r="A127" s="7"/>
      <c r="B127" s="6"/>
      <c r="C127" s="7"/>
      <c r="D127" s="7"/>
      <c r="E127" s="6"/>
    </row>
    <row r="128" customFormat="false" ht="15" hidden="false" customHeight="false" outlineLevel="0" collapsed="false">
      <c r="A128" s="7"/>
      <c r="B128" s="6"/>
      <c r="C128" s="7"/>
      <c r="D128" s="7"/>
      <c r="E128" s="6"/>
    </row>
    <row r="129" customFormat="false" ht="15" hidden="false" customHeight="false" outlineLevel="0" collapsed="false">
      <c r="A129" s="7"/>
      <c r="B129" s="6"/>
      <c r="C129" s="7"/>
      <c r="D129" s="7"/>
      <c r="E129" s="6"/>
    </row>
    <row r="130" customFormat="false" ht="15" hidden="false" customHeight="false" outlineLevel="0" collapsed="false">
      <c r="A130" s="7"/>
      <c r="B130" s="6"/>
      <c r="C130" s="7"/>
      <c r="D130" s="7"/>
      <c r="E130" s="6"/>
    </row>
    <row r="131" customFormat="false" ht="15" hidden="false" customHeight="false" outlineLevel="0" collapsed="false">
      <c r="A131" s="7"/>
      <c r="B131" s="6"/>
      <c r="C131" s="7"/>
      <c r="D131" s="7"/>
      <c r="E131" s="6"/>
    </row>
    <row r="132" customFormat="false" ht="15" hidden="false" customHeight="false" outlineLevel="0" collapsed="false">
      <c r="A132" s="7"/>
      <c r="B132" s="6"/>
      <c r="C132" s="7"/>
      <c r="D132" s="7"/>
      <c r="E132" s="6"/>
    </row>
    <row r="133" customFormat="false" ht="15" hidden="false" customHeight="false" outlineLevel="0" collapsed="false">
      <c r="A133" s="7"/>
      <c r="B133" s="6"/>
      <c r="C133" s="7"/>
      <c r="D133" s="7"/>
      <c r="E133" s="6"/>
    </row>
    <row r="134" customFormat="false" ht="15" hidden="false" customHeight="false" outlineLevel="0" collapsed="false">
      <c r="A134" s="7"/>
      <c r="B134" s="6"/>
      <c r="C134" s="7"/>
      <c r="D134" s="7"/>
      <c r="E134" s="6"/>
    </row>
    <row r="135" customFormat="false" ht="15" hidden="false" customHeight="false" outlineLevel="0" collapsed="false">
      <c r="A135" s="7"/>
      <c r="B135" s="6"/>
      <c r="C135" s="7"/>
      <c r="D135" s="7"/>
      <c r="E135" s="6"/>
    </row>
    <row r="136" customFormat="false" ht="15" hidden="false" customHeight="false" outlineLevel="0" collapsed="false">
      <c r="A136" s="7"/>
      <c r="B136" s="6"/>
      <c r="C136" s="7"/>
      <c r="D136" s="7"/>
      <c r="E136" s="6"/>
    </row>
    <row r="137" customFormat="false" ht="15" hidden="false" customHeight="false" outlineLevel="0" collapsed="false">
      <c r="A137" s="7"/>
      <c r="B137" s="6"/>
      <c r="C137" s="7"/>
      <c r="D137" s="7"/>
      <c r="E137" s="6"/>
    </row>
    <row r="138" customFormat="false" ht="15" hidden="false" customHeight="false" outlineLevel="0" collapsed="false">
      <c r="A138" s="7"/>
      <c r="B138" s="6"/>
      <c r="C138" s="7"/>
      <c r="D138" s="7"/>
      <c r="E138" s="6"/>
    </row>
    <row r="139" customFormat="false" ht="15" hidden="false" customHeight="false" outlineLevel="0" collapsed="false">
      <c r="A139" s="7"/>
      <c r="B139" s="6"/>
      <c r="C139" s="7"/>
      <c r="D139" s="7"/>
      <c r="E139" s="6"/>
    </row>
    <row r="140" customFormat="false" ht="15" hidden="false" customHeight="false" outlineLevel="0" collapsed="false">
      <c r="A140" s="7"/>
      <c r="B140" s="6"/>
      <c r="C140" s="7"/>
      <c r="D140" s="7"/>
      <c r="E140" s="6"/>
    </row>
    <row r="141" customFormat="false" ht="15" hidden="false" customHeight="false" outlineLevel="0" collapsed="false">
      <c r="A141" s="7"/>
      <c r="B141" s="6"/>
      <c r="C141" s="7"/>
      <c r="D141" s="7"/>
      <c r="E141" s="6"/>
    </row>
    <row r="142" customFormat="false" ht="15" hidden="false" customHeight="false" outlineLevel="0" collapsed="false">
      <c r="A142" s="7"/>
      <c r="B142" s="6"/>
      <c r="C142" s="7"/>
      <c r="D142" s="7"/>
      <c r="E142" s="6"/>
    </row>
    <row r="143" customFormat="false" ht="15" hidden="false" customHeight="false" outlineLevel="0" collapsed="false">
      <c r="A143" s="7"/>
      <c r="B143" s="6"/>
      <c r="C143" s="7"/>
      <c r="D143" s="7"/>
      <c r="E143" s="6"/>
    </row>
    <row r="144" customFormat="false" ht="15" hidden="false" customHeight="false" outlineLevel="0" collapsed="false">
      <c r="A144" s="7"/>
      <c r="B144" s="6"/>
      <c r="C144" s="7"/>
      <c r="D144" s="7"/>
      <c r="E144" s="6"/>
    </row>
    <row r="145" customFormat="false" ht="15" hidden="false" customHeight="false" outlineLevel="0" collapsed="false">
      <c r="A145" s="7"/>
      <c r="B145" s="6"/>
      <c r="C145" s="7"/>
      <c r="D145" s="7"/>
      <c r="E145" s="6"/>
    </row>
    <row r="146" customFormat="false" ht="15" hidden="false" customHeight="false" outlineLevel="0" collapsed="false">
      <c r="A146" s="7"/>
      <c r="B146" s="6"/>
      <c r="C146" s="7"/>
      <c r="D146" s="7"/>
      <c r="E146" s="6"/>
    </row>
    <row r="147" customFormat="false" ht="15" hidden="false" customHeight="false" outlineLevel="0" collapsed="false">
      <c r="A147" s="7"/>
      <c r="B147" s="6"/>
      <c r="C147" s="7"/>
      <c r="D147" s="7"/>
      <c r="E147" s="6"/>
    </row>
    <row r="148" customFormat="false" ht="15" hidden="false" customHeight="false" outlineLevel="0" collapsed="false">
      <c r="A148" s="7"/>
      <c r="B148" s="6"/>
      <c r="C148" s="7"/>
      <c r="D148" s="7"/>
      <c r="E148" s="6"/>
    </row>
    <row r="149" customFormat="false" ht="15" hidden="false" customHeight="false" outlineLevel="0" collapsed="false">
      <c r="A149" s="7"/>
      <c r="B149" s="6"/>
      <c r="C149" s="7"/>
      <c r="D149" s="7"/>
      <c r="E149" s="6"/>
    </row>
    <row r="150" customFormat="false" ht="15" hidden="false" customHeight="false" outlineLevel="0" collapsed="false">
      <c r="A150" s="7"/>
      <c r="B150" s="6"/>
      <c r="C150" s="7"/>
      <c r="D150" s="7"/>
      <c r="E150" s="6"/>
    </row>
    <row r="151" customFormat="false" ht="15" hidden="false" customHeight="false" outlineLevel="0" collapsed="false">
      <c r="A151" s="7"/>
      <c r="B151" s="6"/>
      <c r="C151" s="7"/>
      <c r="D151" s="7"/>
      <c r="E151" s="6"/>
    </row>
    <row r="152" customFormat="false" ht="15" hidden="false" customHeight="false" outlineLevel="0" collapsed="false">
      <c r="A152" s="7"/>
      <c r="B152" s="6"/>
      <c r="C152" s="7"/>
      <c r="D152" s="7"/>
      <c r="E152" s="6"/>
    </row>
    <row r="153" customFormat="false" ht="15" hidden="false" customHeight="false" outlineLevel="0" collapsed="false">
      <c r="A153" s="7"/>
      <c r="B153" s="6"/>
      <c r="C153" s="7"/>
      <c r="D153" s="7"/>
      <c r="E153" s="6"/>
    </row>
    <row r="154" customFormat="false" ht="15" hidden="false" customHeight="false" outlineLevel="0" collapsed="false">
      <c r="A154" s="7"/>
      <c r="B154" s="6"/>
      <c r="C154" s="7"/>
      <c r="D154" s="7"/>
      <c r="E154" s="6"/>
    </row>
    <row r="155" customFormat="false" ht="15" hidden="false" customHeight="false" outlineLevel="0" collapsed="false">
      <c r="A155" s="7"/>
      <c r="B155" s="6"/>
      <c r="C155" s="7"/>
      <c r="D155" s="7"/>
      <c r="E155" s="6"/>
    </row>
    <row r="156" customFormat="false" ht="15" hidden="false" customHeight="false" outlineLevel="0" collapsed="false">
      <c r="A156" s="7"/>
      <c r="B156" s="6"/>
      <c r="C156" s="7"/>
      <c r="D156" s="7"/>
      <c r="E156" s="6"/>
    </row>
    <row r="157" customFormat="false" ht="15" hidden="false" customHeight="false" outlineLevel="0" collapsed="false">
      <c r="A157" s="7"/>
      <c r="B157" s="6"/>
      <c r="C157" s="7"/>
      <c r="D157" s="7"/>
      <c r="E157" s="6"/>
    </row>
    <row r="158" customFormat="false" ht="15" hidden="false" customHeight="false" outlineLevel="0" collapsed="false">
      <c r="A158" s="7"/>
      <c r="B158" s="6"/>
      <c r="C158" s="7"/>
      <c r="D158" s="7"/>
      <c r="E158" s="6"/>
    </row>
    <row r="159" customFormat="false" ht="15" hidden="false" customHeight="false" outlineLevel="0" collapsed="false">
      <c r="A159" s="7"/>
      <c r="B159" s="6"/>
      <c r="C159" s="7"/>
      <c r="D159" s="7"/>
      <c r="E159" s="6"/>
    </row>
    <row r="160" customFormat="false" ht="15" hidden="false" customHeight="false" outlineLevel="0" collapsed="false">
      <c r="A160" s="7"/>
      <c r="B160" s="6"/>
      <c r="C160" s="7"/>
      <c r="D160" s="7"/>
      <c r="E160" s="6"/>
    </row>
    <row r="161" customFormat="false" ht="15" hidden="false" customHeight="false" outlineLevel="0" collapsed="false">
      <c r="A161" s="7"/>
      <c r="B161" s="6"/>
      <c r="C161" s="7"/>
      <c r="D161" s="7"/>
      <c r="E161" s="6"/>
    </row>
    <row r="162" customFormat="false" ht="15" hidden="false" customHeight="false" outlineLevel="0" collapsed="false">
      <c r="A162" s="7"/>
      <c r="B162" s="6"/>
      <c r="C162" s="7"/>
      <c r="D162" s="7"/>
      <c r="E162" s="6"/>
    </row>
    <row r="163" customFormat="false" ht="15" hidden="false" customHeight="false" outlineLevel="0" collapsed="false">
      <c r="A163" s="7"/>
      <c r="B163" s="6"/>
      <c r="C163" s="7"/>
      <c r="D163" s="7"/>
      <c r="E163" s="6"/>
    </row>
    <row r="164" customFormat="false" ht="15" hidden="false" customHeight="false" outlineLevel="0" collapsed="false">
      <c r="A164" s="7"/>
      <c r="B164" s="6"/>
      <c r="C164" s="7"/>
      <c r="D164" s="7"/>
      <c r="E164" s="6"/>
    </row>
    <row r="165" customFormat="false" ht="15" hidden="false" customHeight="false" outlineLevel="0" collapsed="false">
      <c r="A165" s="7"/>
      <c r="B165" s="6"/>
      <c r="C165" s="7"/>
      <c r="D165" s="7"/>
      <c r="E165" s="6"/>
    </row>
    <row r="166" customFormat="false" ht="15" hidden="false" customHeight="false" outlineLevel="0" collapsed="false">
      <c r="A166" s="7"/>
      <c r="B166" s="6"/>
      <c r="C166" s="7"/>
      <c r="D166" s="7"/>
      <c r="E166" s="6"/>
    </row>
    <row r="167" customFormat="false" ht="15" hidden="false" customHeight="false" outlineLevel="0" collapsed="false">
      <c r="A167" s="7"/>
      <c r="B167" s="6"/>
      <c r="C167" s="7"/>
      <c r="D167" s="7"/>
      <c r="E167" s="6"/>
    </row>
    <row r="168" customFormat="false" ht="15" hidden="false" customHeight="false" outlineLevel="0" collapsed="false">
      <c r="A168" s="7"/>
      <c r="B168" s="6"/>
      <c r="C168" s="7"/>
      <c r="D168" s="7"/>
      <c r="E168" s="6"/>
    </row>
    <row r="169" customFormat="false" ht="15" hidden="false" customHeight="false" outlineLevel="0" collapsed="false">
      <c r="A169" s="7"/>
      <c r="B169" s="6"/>
      <c r="C169" s="7"/>
      <c r="D169" s="7"/>
      <c r="E169" s="6"/>
    </row>
    <row r="170" customFormat="false" ht="15" hidden="false" customHeight="false" outlineLevel="0" collapsed="false">
      <c r="A170" s="7"/>
      <c r="B170" s="6"/>
      <c r="C170" s="7"/>
      <c r="D170" s="7"/>
      <c r="E170" s="6"/>
    </row>
    <row r="171" customFormat="false" ht="15" hidden="false" customHeight="false" outlineLevel="0" collapsed="false">
      <c r="A171" s="7"/>
      <c r="B171" s="6"/>
      <c r="C171" s="7"/>
      <c r="D171" s="7"/>
      <c r="E171" s="6"/>
    </row>
    <row r="172" customFormat="false" ht="15" hidden="false" customHeight="false" outlineLevel="0" collapsed="false">
      <c r="A172" s="7"/>
      <c r="B172" s="6"/>
      <c r="C172" s="7"/>
      <c r="D172" s="7"/>
      <c r="E172" s="6"/>
    </row>
    <row r="173" customFormat="false" ht="15" hidden="false" customHeight="false" outlineLevel="0" collapsed="false">
      <c r="A173" s="7"/>
      <c r="B173" s="6"/>
      <c r="C173" s="7"/>
      <c r="D173" s="7"/>
      <c r="E173" s="6"/>
    </row>
    <row r="174" customFormat="false" ht="15" hidden="false" customHeight="false" outlineLevel="0" collapsed="false">
      <c r="A174" s="7"/>
      <c r="B174" s="6"/>
      <c r="C174" s="7"/>
      <c r="D174" s="7"/>
      <c r="E174" s="6"/>
    </row>
    <row r="175" customFormat="false" ht="15" hidden="false" customHeight="false" outlineLevel="0" collapsed="false">
      <c r="A175" s="7"/>
      <c r="B175" s="6"/>
      <c r="C175" s="7"/>
      <c r="D175" s="7"/>
      <c r="E175" s="6"/>
    </row>
    <row r="176" customFormat="false" ht="15" hidden="false" customHeight="false" outlineLevel="0" collapsed="false">
      <c r="A176" s="7"/>
      <c r="B176" s="6"/>
      <c r="C176" s="7"/>
      <c r="D176" s="7"/>
      <c r="E176" s="6"/>
    </row>
    <row r="177" customFormat="false" ht="15" hidden="false" customHeight="false" outlineLevel="0" collapsed="false">
      <c r="A177" s="7"/>
      <c r="B177" s="6"/>
      <c r="C177" s="7"/>
      <c r="D177" s="7"/>
      <c r="E177" s="6"/>
    </row>
    <row r="178" customFormat="false" ht="15" hidden="false" customHeight="false" outlineLevel="0" collapsed="false">
      <c r="A178" s="7"/>
      <c r="B178" s="6"/>
      <c r="C178" s="7"/>
      <c r="D178" s="7"/>
      <c r="E178" s="6"/>
    </row>
    <row r="179" customFormat="false" ht="15" hidden="false" customHeight="false" outlineLevel="0" collapsed="false">
      <c r="A179" s="7"/>
      <c r="B179" s="6"/>
      <c r="C179" s="7"/>
      <c r="D179" s="7"/>
      <c r="E179" s="6"/>
    </row>
    <row r="180" customFormat="false" ht="15" hidden="false" customHeight="false" outlineLevel="0" collapsed="false">
      <c r="A180" s="7"/>
      <c r="B180" s="6"/>
      <c r="C180" s="7"/>
      <c r="D180" s="7"/>
      <c r="E180" s="6"/>
    </row>
    <row r="181" customFormat="false" ht="15" hidden="false" customHeight="false" outlineLevel="0" collapsed="false">
      <c r="A181" s="7"/>
      <c r="B181" s="6"/>
      <c r="C181" s="7"/>
      <c r="D181" s="7"/>
      <c r="E181" s="6"/>
    </row>
    <row r="182" customFormat="false" ht="15" hidden="false" customHeight="false" outlineLevel="0" collapsed="false">
      <c r="A182" s="7"/>
      <c r="B182" s="6"/>
      <c r="C182" s="7"/>
      <c r="D182" s="7"/>
      <c r="E182" s="6"/>
    </row>
    <row r="183" customFormat="false" ht="15" hidden="false" customHeight="false" outlineLevel="0" collapsed="false">
      <c r="A183" s="7"/>
      <c r="B183" s="6"/>
      <c r="C183" s="7"/>
      <c r="D183" s="7"/>
      <c r="E183" s="6"/>
    </row>
    <row r="184" customFormat="false" ht="15" hidden="false" customHeight="false" outlineLevel="0" collapsed="false">
      <c r="A184" s="7"/>
      <c r="B184" s="6"/>
      <c r="C184" s="7"/>
      <c r="D184" s="7"/>
      <c r="E184" s="6"/>
    </row>
    <row r="185" customFormat="false" ht="15" hidden="false" customHeight="false" outlineLevel="0" collapsed="false">
      <c r="A185" s="7"/>
      <c r="B185" s="6"/>
      <c r="C185" s="7"/>
      <c r="D185" s="7"/>
      <c r="E185" s="6"/>
    </row>
    <row r="186" customFormat="false" ht="15" hidden="false" customHeight="false" outlineLevel="0" collapsed="false">
      <c r="A186" s="7"/>
      <c r="B186" s="6"/>
      <c r="C186" s="7"/>
      <c r="D186" s="7"/>
      <c r="E186" s="6"/>
    </row>
    <row r="187" customFormat="false" ht="15" hidden="false" customHeight="false" outlineLevel="0" collapsed="false">
      <c r="A187" s="7"/>
      <c r="B187" s="6"/>
      <c r="C187" s="7"/>
      <c r="D187" s="7"/>
      <c r="E187" s="6"/>
    </row>
    <row r="188" customFormat="false" ht="15" hidden="false" customHeight="false" outlineLevel="0" collapsed="false">
      <c r="A188" s="7"/>
      <c r="B188" s="6"/>
      <c r="C188" s="7"/>
      <c r="D188" s="7"/>
      <c r="E188" s="6"/>
    </row>
    <row r="189" customFormat="false" ht="15" hidden="false" customHeight="false" outlineLevel="0" collapsed="false">
      <c r="A189" s="7"/>
      <c r="B189" s="6"/>
      <c r="C189" s="7"/>
      <c r="D189" s="7"/>
      <c r="E189" s="6"/>
    </row>
    <row r="190" customFormat="false" ht="15" hidden="false" customHeight="false" outlineLevel="0" collapsed="false">
      <c r="A190" s="7"/>
      <c r="B190" s="6"/>
      <c r="C190" s="7"/>
      <c r="D190" s="7"/>
      <c r="E190" s="6"/>
    </row>
    <row r="191" customFormat="false" ht="15" hidden="false" customHeight="false" outlineLevel="0" collapsed="false">
      <c r="A191" s="7"/>
      <c r="B191" s="6"/>
      <c r="C191" s="7"/>
      <c r="D191" s="7"/>
      <c r="E191" s="6"/>
    </row>
    <row r="192" customFormat="false" ht="15" hidden="false" customHeight="false" outlineLevel="0" collapsed="false">
      <c r="A192" s="7"/>
      <c r="B192" s="6"/>
      <c r="C192" s="7"/>
      <c r="D192" s="7"/>
      <c r="E192" s="6"/>
    </row>
    <row r="193" customFormat="false" ht="15" hidden="false" customHeight="false" outlineLevel="0" collapsed="false">
      <c r="A193" s="7"/>
      <c r="B193" s="6"/>
      <c r="C193" s="7"/>
      <c r="D193" s="7"/>
      <c r="E193" s="6"/>
    </row>
    <row r="194" customFormat="false" ht="15" hidden="false" customHeight="false" outlineLevel="0" collapsed="false">
      <c r="A194" s="7"/>
      <c r="B194" s="6"/>
      <c r="C194" s="7"/>
      <c r="D194" s="7"/>
      <c r="E194" s="6"/>
    </row>
    <row r="195" customFormat="false" ht="15" hidden="false" customHeight="false" outlineLevel="0" collapsed="false">
      <c r="A195" s="7"/>
      <c r="B195" s="6"/>
      <c r="C195" s="7"/>
      <c r="D195" s="7"/>
      <c r="E195" s="6"/>
    </row>
    <row r="196" customFormat="false" ht="15" hidden="false" customHeight="false" outlineLevel="0" collapsed="false">
      <c r="A196" s="7"/>
      <c r="B196" s="6"/>
      <c r="C196" s="7"/>
      <c r="D196" s="7"/>
      <c r="E196" s="6"/>
    </row>
    <row r="197" customFormat="false" ht="15" hidden="false" customHeight="false" outlineLevel="0" collapsed="false">
      <c r="A197" s="7"/>
      <c r="B197" s="6"/>
      <c r="C197" s="7"/>
      <c r="D197" s="7"/>
      <c r="E197" s="6"/>
    </row>
    <row r="198" customFormat="false" ht="15" hidden="false" customHeight="false" outlineLevel="0" collapsed="false">
      <c r="A198" s="7"/>
      <c r="B198" s="6"/>
      <c r="C198" s="7"/>
      <c r="D198" s="7"/>
      <c r="E198" s="6"/>
    </row>
    <row r="199" customFormat="false" ht="15" hidden="false" customHeight="false" outlineLevel="0" collapsed="false">
      <c r="A199" s="7"/>
      <c r="B199" s="6"/>
      <c r="C199" s="7"/>
      <c r="D199" s="7"/>
      <c r="E199" s="6"/>
    </row>
    <row r="200" customFormat="false" ht="15" hidden="false" customHeight="false" outlineLevel="0" collapsed="false">
      <c r="A200" s="7"/>
      <c r="B200" s="6"/>
      <c r="C200" s="7"/>
      <c r="D200" s="7"/>
      <c r="E200" s="6"/>
    </row>
    <row r="201" customFormat="false" ht="15" hidden="false" customHeight="false" outlineLevel="0" collapsed="false">
      <c r="A201" s="7"/>
      <c r="B201" s="6"/>
      <c r="C201" s="7"/>
      <c r="D201" s="7"/>
      <c r="E201" s="6"/>
    </row>
    <row r="202" customFormat="false" ht="15" hidden="false" customHeight="false" outlineLevel="0" collapsed="false">
      <c r="A202" s="7"/>
      <c r="B202" s="6"/>
      <c r="C202" s="7"/>
      <c r="D202" s="7"/>
      <c r="E202" s="6"/>
    </row>
    <row r="203" customFormat="false" ht="15" hidden="false" customHeight="false" outlineLevel="0" collapsed="false">
      <c r="A203" s="7"/>
      <c r="B203" s="6"/>
      <c r="C203" s="7"/>
      <c r="D203" s="7"/>
      <c r="E203" s="6"/>
    </row>
    <row r="204" customFormat="false" ht="15" hidden="false" customHeight="false" outlineLevel="0" collapsed="false">
      <c r="A204" s="7"/>
      <c r="B204" s="6"/>
      <c r="C204" s="7"/>
      <c r="D204" s="7"/>
      <c r="E204" s="6"/>
    </row>
    <row r="205" customFormat="false" ht="15" hidden="false" customHeight="false" outlineLevel="0" collapsed="false">
      <c r="A205" s="7"/>
      <c r="B205" s="6"/>
      <c r="C205" s="7"/>
      <c r="D205" s="7"/>
      <c r="E205" s="6"/>
    </row>
    <row r="206" customFormat="false" ht="15" hidden="false" customHeight="false" outlineLevel="0" collapsed="false">
      <c r="A206" s="7"/>
      <c r="B206" s="6"/>
      <c r="C206" s="7"/>
      <c r="D206" s="7"/>
      <c r="E206" s="6"/>
    </row>
    <row r="207" customFormat="false" ht="15" hidden="false" customHeight="false" outlineLevel="0" collapsed="false">
      <c r="A207" s="7"/>
      <c r="B207" s="6"/>
      <c r="C207" s="7"/>
      <c r="D207" s="7"/>
      <c r="E207" s="6"/>
    </row>
    <row r="208" customFormat="false" ht="15" hidden="false" customHeight="false" outlineLevel="0" collapsed="false">
      <c r="A208" s="7"/>
      <c r="B208" s="6"/>
      <c r="C208" s="7"/>
      <c r="D208" s="7"/>
      <c r="E208" s="6"/>
    </row>
    <row r="209" customFormat="false" ht="15" hidden="false" customHeight="false" outlineLevel="0" collapsed="false">
      <c r="A209" s="7"/>
      <c r="B209" s="6"/>
      <c r="C209" s="7"/>
      <c r="D209" s="7"/>
      <c r="E209" s="6"/>
    </row>
    <row r="210" customFormat="false" ht="15" hidden="false" customHeight="false" outlineLevel="0" collapsed="false">
      <c r="A210" s="7"/>
      <c r="B210" s="6"/>
      <c r="C210" s="7"/>
      <c r="D210" s="7"/>
      <c r="E210" s="6"/>
    </row>
    <row r="211" customFormat="false" ht="15" hidden="false" customHeight="false" outlineLevel="0" collapsed="false">
      <c r="A211" s="7"/>
      <c r="B211" s="6"/>
      <c r="C211" s="7"/>
      <c r="D211" s="7"/>
      <c r="E211" s="6"/>
    </row>
    <row r="212" customFormat="false" ht="15" hidden="false" customHeight="false" outlineLevel="0" collapsed="false">
      <c r="A212" s="7"/>
      <c r="B212" s="6"/>
      <c r="C212" s="7"/>
      <c r="D212" s="7"/>
      <c r="E212" s="6"/>
    </row>
    <row r="213" customFormat="false" ht="15" hidden="false" customHeight="false" outlineLevel="0" collapsed="false">
      <c r="A213" s="7"/>
      <c r="B213" s="6"/>
      <c r="C213" s="7"/>
      <c r="D213" s="7"/>
      <c r="E213" s="6"/>
    </row>
    <row r="214" customFormat="false" ht="15" hidden="false" customHeight="false" outlineLevel="0" collapsed="false">
      <c r="A214" s="7"/>
      <c r="B214" s="6"/>
      <c r="C214" s="7"/>
      <c r="D214" s="7"/>
      <c r="E214" s="6"/>
    </row>
    <row r="215" customFormat="false" ht="15" hidden="false" customHeight="false" outlineLevel="0" collapsed="false">
      <c r="A215" s="7"/>
      <c r="B215" s="6"/>
      <c r="C215" s="7"/>
      <c r="D215" s="7"/>
      <c r="E215" s="6"/>
    </row>
    <row r="216" customFormat="false" ht="15" hidden="false" customHeight="false" outlineLevel="0" collapsed="false">
      <c r="A216" s="7"/>
      <c r="B216" s="6"/>
      <c r="C216" s="7"/>
      <c r="D216" s="7"/>
      <c r="E216" s="6"/>
    </row>
    <row r="217" customFormat="false" ht="15" hidden="false" customHeight="false" outlineLevel="0" collapsed="false">
      <c r="A217" s="7"/>
      <c r="B217" s="6"/>
      <c r="C217" s="7"/>
      <c r="D217" s="7"/>
      <c r="E217" s="6"/>
    </row>
    <row r="218" customFormat="false" ht="15" hidden="false" customHeight="false" outlineLevel="0" collapsed="false">
      <c r="A218" s="7"/>
      <c r="B218" s="6"/>
      <c r="C218" s="7"/>
      <c r="D218" s="7"/>
      <c r="E218" s="6"/>
    </row>
    <row r="219" customFormat="false" ht="15" hidden="false" customHeight="false" outlineLevel="0" collapsed="false">
      <c r="A219" s="7"/>
      <c r="B219" s="6"/>
      <c r="C219" s="7"/>
      <c r="D219" s="7"/>
      <c r="E219" s="6"/>
    </row>
    <row r="220" customFormat="false" ht="15" hidden="false" customHeight="false" outlineLevel="0" collapsed="false">
      <c r="A220" s="7"/>
      <c r="B220" s="6"/>
      <c r="C220" s="7"/>
      <c r="D220" s="7"/>
      <c r="E220" s="6"/>
    </row>
    <row r="221" customFormat="false" ht="15" hidden="false" customHeight="false" outlineLevel="0" collapsed="false">
      <c r="A221" s="7"/>
      <c r="B221" s="6"/>
      <c r="C221" s="7"/>
      <c r="D221" s="7"/>
      <c r="E221" s="6"/>
    </row>
    <row r="222" customFormat="false" ht="15" hidden="false" customHeight="false" outlineLevel="0" collapsed="false">
      <c r="A222" s="7"/>
      <c r="B222" s="6"/>
      <c r="C222" s="7"/>
      <c r="D222" s="7"/>
      <c r="E222" s="6"/>
    </row>
    <row r="223" customFormat="false" ht="15" hidden="false" customHeight="false" outlineLevel="0" collapsed="false">
      <c r="A223" s="7"/>
      <c r="B223" s="6"/>
      <c r="C223" s="7"/>
      <c r="D223" s="7"/>
      <c r="E223" s="6"/>
    </row>
    <row r="224" customFormat="false" ht="15" hidden="false" customHeight="false" outlineLevel="0" collapsed="false">
      <c r="A224" s="7"/>
      <c r="B224" s="6"/>
      <c r="C224" s="7"/>
      <c r="D224" s="7"/>
      <c r="E224" s="6"/>
    </row>
    <row r="225" customFormat="false" ht="15" hidden="false" customHeight="false" outlineLevel="0" collapsed="false">
      <c r="A225" s="7"/>
      <c r="B225" s="6"/>
      <c r="C225" s="7"/>
      <c r="D225" s="7"/>
      <c r="E225" s="6"/>
    </row>
    <row r="226" customFormat="false" ht="15" hidden="false" customHeight="false" outlineLevel="0" collapsed="false">
      <c r="A226" s="7"/>
      <c r="B226" s="6"/>
      <c r="C226" s="7"/>
      <c r="D226" s="7"/>
      <c r="E226" s="6"/>
    </row>
    <row r="227" customFormat="false" ht="15" hidden="false" customHeight="false" outlineLevel="0" collapsed="false">
      <c r="A227" s="7"/>
      <c r="B227" s="6"/>
      <c r="C227" s="7"/>
      <c r="D227" s="7"/>
      <c r="E227" s="6"/>
    </row>
    <row r="228" customFormat="false" ht="15" hidden="false" customHeight="false" outlineLevel="0" collapsed="false">
      <c r="A228" s="7"/>
      <c r="B228" s="6"/>
      <c r="C228" s="7"/>
      <c r="D228" s="7"/>
      <c r="E228" s="6"/>
    </row>
    <row r="229" customFormat="false" ht="15" hidden="false" customHeight="false" outlineLevel="0" collapsed="false">
      <c r="A229" s="7"/>
      <c r="B229" s="6"/>
      <c r="C229" s="7"/>
      <c r="D229" s="7"/>
      <c r="E229" s="6"/>
    </row>
    <row r="230" customFormat="false" ht="15" hidden="false" customHeight="false" outlineLevel="0" collapsed="false">
      <c r="A230" s="7"/>
      <c r="B230" s="6"/>
      <c r="C230" s="7"/>
      <c r="D230" s="7"/>
      <c r="E230" s="6"/>
    </row>
    <row r="231" customFormat="false" ht="15" hidden="false" customHeight="false" outlineLevel="0" collapsed="false">
      <c r="A231" s="7"/>
      <c r="B231" s="6"/>
      <c r="C231" s="7"/>
      <c r="D231" s="7"/>
      <c r="E231" s="6"/>
    </row>
    <row r="232" customFormat="false" ht="15" hidden="false" customHeight="false" outlineLevel="0" collapsed="false">
      <c r="A232" s="7"/>
      <c r="B232" s="6"/>
      <c r="C232" s="7"/>
      <c r="D232" s="7"/>
      <c r="E232" s="6"/>
    </row>
    <row r="233" customFormat="false" ht="15" hidden="false" customHeight="false" outlineLevel="0" collapsed="false">
      <c r="A233" s="7"/>
      <c r="B233" s="6"/>
      <c r="C233" s="7"/>
      <c r="D233" s="7"/>
      <c r="E233" s="6"/>
    </row>
    <row r="234" customFormat="false" ht="15" hidden="false" customHeight="false" outlineLevel="0" collapsed="false">
      <c r="A234" s="7"/>
      <c r="B234" s="6"/>
      <c r="C234" s="7"/>
      <c r="D234" s="7"/>
      <c r="E234" s="6"/>
    </row>
    <row r="235" customFormat="false" ht="15" hidden="false" customHeight="false" outlineLevel="0" collapsed="false">
      <c r="A235" s="7"/>
      <c r="B235" s="6"/>
      <c r="C235" s="7"/>
      <c r="D235" s="7"/>
      <c r="E235" s="6"/>
    </row>
    <row r="236" customFormat="false" ht="15" hidden="false" customHeight="false" outlineLevel="0" collapsed="false">
      <c r="A236" s="7"/>
      <c r="B236" s="6"/>
      <c r="C236" s="7"/>
      <c r="D236" s="7"/>
      <c r="E236" s="6"/>
    </row>
    <row r="237" customFormat="false" ht="15" hidden="false" customHeight="false" outlineLevel="0" collapsed="false">
      <c r="A237" s="7"/>
      <c r="B237" s="6"/>
      <c r="C237" s="7"/>
      <c r="D237" s="7"/>
      <c r="E237" s="6"/>
    </row>
    <row r="238" customFormat="false" ht="15" hidden="false" customHeight="false" outlineLevel="0" collapsed="false">
      <c r="A238" s="7"/>
      <c r="B238" s="6"/>
      <c r="C238" s="7"/>
      <c r="D238" s="7"/>
      <c r="E238" s="6"/>
    </row>
    <row r="239" customFormat="false" ht="15" hidden="false" customHeight="false" outlineLevel="0" collapsed="false">
      <c r="A239" s="7"/>
      <c r="B239" s="6"/>
      <c r="C239" s="7"/>
      <c r="D239" s="7"/>
      <c r="E239" s="6"/>
    </row>
    <row r="240" customFormat="false" ht="15" hidden="false" customHeight="false" outlineLevel="0" collapsed="false">
      <c r="A240" s="7"/>
      <c r="B240" s="6"/>
      <c r="C240" s="7"/>
      <c r="D240" s="7"/>
      <c r="E240" s="6"/>
    </row>
    <row r="241" customFormat="false" ht="15" hidden="false" customHeight="false" outlineLevel="0" collapsed="false">
      <c r="A241" s="7"/>
      <c r="B241" s="6"/>
      <c r="C241" s="7"/>
      <c r="D241" s="7"/>
      <c r="E241" s="6"/>
    </row>
    <row r="242" customFormat="false" ht="15" hidden="false" customHeight="false" outlineLevel="0" collapsed="false">
      <c r="A242" s="7"/>
      <c r="B242" s="6"/>
      <c r="C242" s="7"/>
      <c r="D242" s="7"/>
      <c r="E242" s="6"/>
    </row>
    <row r="243" customFormat="false" ht="15" hidden="false" customHeight="false" outlineLevel="0" collapsed="false">
      <c r="A243" s="7"/>
      <c r="B243" s="6"/>
      <c r="C243" s="7"/>
      <c r="D243" s="7"/>
      <c r="E243" s="6"/>
    </row>
    <row r="244" customFormat="false" ht="15" hidden="false" customHeight="false" outlineLevel="0" collapsed="false">
      <c r="A244" s="7"/>
      <c r="B244" s="6"/>
      <c r="C244" s="7"/>
      <c r="D244" s="7"/>
      <c r="E244" s="6"/>
    </row>
    <row r="245" customFormat="false" ht="15" hidden="false" customHeight="false" outlineLevel="0" collapsed="false">
      <c r="A245" s="7"/>
      <c r="B245" s="6"/>
      <c r="C245" s="7"/>
      <c r="D245" s="7"/>
      <c r="E245" s="6"/>
    </row>
    <row r="246" customFormat="false" ht="15" hidden="false" customHeight="false" outlineLevel="0" collapsed="false">
      <c r="A246" s="7"/>
      <c r="B246" s="6"/>
      <c r="C246" s="7"/>
      <c r="D246" s="7"/>
      <c r="E246" s="6"/>
    </row>
    <row r="247" customFormat="false" ht="15" hidden="false" customHeight="false" outlineLevel="0" collapsed="false">
      <c r="A247" s="7"/>
      <c r="B247" s="6"/>
      <c r="C247" s="7"/>
      <c r="D247" s="7"/>
      <c r="E247" s="6"/>
    </row>
    <row r="248" customFormat="false" ht="15" hidden="false" customHeight="false" outlineLevel="0" collapsed="false">
      <c r="A248" s="7"/>
      <c r="B248" s="6"/>
      <c r="C248" s="7"/>
      <c r="D248" s="7"/>
      <c r="E248" s="6"/>
    </row>
    <row r="249" customFormat="false" ht="15" hidden="false" customHeight="false" outlineLevel="0" collapsed="false">
      <c r="A249" s="7"/>
      <c r="B249" s="6"/>
      <c r="C249" s="7"/>
      <c r="D249" s="7"/>
      <c r="E249" s="6"/>
    </row>
    <row r="250" customFormat="false" ht="15" hidden="false" customHeight="false" outlineLevel="0" collapsed="false">
      <c r="A250" s="7"/>
      <c r="B250" s="6"/>
      <c r="C250" s="7"/>
      <c r="D250" s="7"/>
      <c r="E250" s="6"/>
    </row>
    <row r="251" customFormat="false" ht="15" hidden="false" customHeight="false" outlineLevel="0" collapsed="false">
      <c r="A251" s="7"/>
      <c r="B251" s="6"/>
      <c r="C251" s="7"/>
      <c r="D251" s="7"/>
      <c r="E251" s="6"/>
    </row>
    <row r="252" customFormat="false" ht="15" hidden="false" customHeight="false" outlineLevel="0" collapsed="false">
      <c r="A252" s="7"/>
      <c r="B252" s="6"/>
      <c r="C252" s="7"/>
      <c r="D252" s="7"/>
      <c r="E252" s="6"/>
    </row>
    <row r="253" customFormat="false" ht="15" hidden="false" customHeight="false" outlineLevel="0" collapsed="false">
      <c r="A253" s="7"/>
      <c r="B253" s="6"/>
      <c r="C253" s="7"/>
      <c r="D253" s="7"/>
      <c r="E253" s="6"/>
    </row>
    <row r="254" customFormat="false" ht="15" hidden="false" customHeight="false" outlineLevel="0" collapsed="false">
      <c r="A254" s="7"/>
      <c r="B254" s="6"/>
      <c r="C254" s="7"/>
      <c r="D254" s="7"/>
      <c r="E254" s="6"/>
    </row>
    <row r="255" customFormat="false" ht="15" hidden="false" customHeight="false" outlineLevel="0" collapsed="false">
      <c r="A255" s="7"/>
      <c r="B255" s="6"/>
      <c r="C255" s="7"/>
      <c r="D255" s="7"/>
      <c r="E255" s="6"/>
    </row>
    <row r="256" customFormat="false" ht="15" hidden="false" customHeight="false" outlineLevel="0" collapsed="false">
      <c r="A256" s="7"/>
      <c r="B256" s="6"/>
      <c r="C256" s="7"/>
      <c r="D256" s="7"/>
      <c r="E256" s="6"/>
    </row>
    <row r="257" customFormat="false" ht="15" hidden="false" customHeight="false" outlineLevel="0" collapsed="false">
      <c r="A257" s="7"/>
      <c r="B257" s="6"/>
      <c r="C257" s="7"/>
      <c r="D257" s="7"/>
      <c r="E257" s="6"/>
    </row>
    <row r="258" customFormat="false" ht="15" hidden="false" customHeight="false" outlineLevel="0" collapsed="false">
      <c r="A258" s="7"/>
      <c r="B258" s="6"/>
      <c r="C258" s="7"/>
      <c r="D258" s="7"/>
      <c r="E258" s="6"/>
    </row>
    <row r="259" customFormat="false" ht="15" hidden="false" customHeight="false" outlineLevel="0" collapsed="false">
      <c r="A259" s="7"/>
      <c r="B259" s="6"/>
      <c r="C259" s="7"/>
      <c r="D259" s="7"/>
      <c r="E259" s="6"/>
    </row>
    <row r="260" customFormat="false" ht="15" hidden="false" customHeight="false" outlineLevel="0" collapsed="false">
      <c r="A260" s="7"/>
      <c r="B260" s="6"/>
      <c r="C260" s="7"/>
      <c r="D260" s="7"/>
      <c r="E260" s="6"/>
    </row>
    <row r="261" customFormat="false" ht="15" hidden="false" customHeight="false" outlineLevel="0" collapsed="false">
      <c r="A261" s="7"/>
      <c r="B261" s="6"/>
      <c r="C261" s="7"/>
      <c r="D261" s="7"/>
      <c r="E261" s="6"/>
    </row>
    <row r="262" customFormat="false" ht="15" hidden="false" customHeight="false" outlineLevel="0" collapsed="false">
      <c r="A262" s="7"/>
      <c r="B262" s="6"/>
      <c r="C262" s="7"/>
      <c r="D262" s="7"/>
      <c r="E262" s="6"/>
    </row>
    <row r="263" customFormat="false" ht="15" hidden="false" customHeight="false" outlineLevel="0" collapsed="false">
      <c r="A263" s="7"/>
      <c r="B263" s="6"/>
      <c r="C263" s="7"/>
      <c r="D263" s="7"/>
      <c r="E263" s="6"/>
    </row>
    <row r="264" customFormat="false" ht="15" hidden="false" customHeight="false" outlineLevel="0" collapsed="false">
      <c r="A264" s="7"/>
      <c r="B264" s="6"/>
      <c r="C264" s="7"/>
      <c r="D264" s="7"/>
      <c r="E264" s="6"/>
    </row>
    <row r="265" customFormat="false" ht="15" hidden="false" customHeight="false" outlineLevel="0" collapsed="false">
      <c r="A265" s="7"/>
      <c r="B265" s="6"/>
      <c r="C265" s="7"/>
      <c r="D265" s="7"/>
      <c r="E265" s="6"/>
    </row>
    <row r="266" customFormat="false" ht="15" hidden="false" customHeight="false" outlineLevel="0" collapsed="false">
      <c r="A266" s="7"/>
      <c r="B266" s="6"/>
      <c r="C266" s="7"/>
      <c r="D266" s="7"/>
      <c r="E266" s="6"/>
    </row>
    <row r="267" customFormat="false" ht="15" hidden="false" customHeight="false" outlineLevel="0" collapsed="false">
      <c r="A267" s="7"/>
      <c r="B267" s="6"/>
      <c r="C267" s="7"/>
      <c r="D267" s="7"/>
      <c r="E267" s="6"/>
    </row>
    <row r="268" customFormat="false" ht="15" hidden="false" customHeight="false" outlineLevel="0" collapsed="false">
      <c r="A268" s="7"/>
      <c r="B268" s="6"/>
      <c r="C268" s="7"/>
      <c r="D268" s="7"/>
      <c r="E268" s="6"/>
    </row>
    <row r="269" customFormat="false" ht="15" hidden="false" customHeight="false" outlineLevel="0" collapsed="false">
      <c r="A269" s="7"/>
      <c r="B269" s="6"/>
      <c r="C269" s="7"/>
      <c r="D269" s="7"/>
      <c r="E269" s="6"/>
    </row>
    <row r="270" customFormat="false" ht="15" hidden="false" customHeight="false" outlineLevel="0" collapsed="false">
      <c r="A270" s="7"/>
      <c r="B270" s="6"/>
      <c r="C270" s="7"/>
      <c r="D270" s="7"/>
      <c r="E270" s="6"/>
    </row>
    <row r="271" customFormat="false" ht="15" hidden="false" customHeight="false" outlineLevel="0" collapsed="false">
      <c r="A271" s="7"/>
      <c r="B271" s="6"/>
      <c r="C271" s="7"/>
      <c r="D271" s="7"/>
      <c r="E271" s="6"/>
    </row>
    <row r="272" customFormat="false" ht="15" hidden="false" customHeight="false" outlineLevel="0" collapsed="false">
      <c r="A272" s="7"/>
      <c r="B272" s="6"/>
      <c r="C272" s="7"/>
      <c r="D272" s="7"/>
      <c r="E272" s="6"/>
    </row>
    <row r="273" customFormat="false" ht="15" hidden="false" customHeight="false" outlineLevel="0" collapsed="false">
      <c r="A273" s="7"/>
      <c r="B273" s="6"/>
      <c r="C273" s="7"/>
      <c r="D273" s="7"/>
      <c r="E273" s="6"/>
    </row>
    <row r="274" customFormat="false" ht="15" hidden="false" customHeight="false" outlineLevel="0" collapsed="false">
      <c r="A274" s="7"/>
      <c r="B274" s="6"/>
      <c r="C274" s="7"/>
      <c r="D274" s="7"/>
      <c r="E274" s="6"/>
    </row>
    <row r="275" customFormat="false" ht="15" hidden="false" customHeight="false" outlineLevel="0" collapsed="false">
      <c r="A275" s="7"/>
      <c r="B275" s="6"/>
      <c r="C275" s="7"/>
      <c r="D275" s="7"/>
      <c r="E275" s="6"/>
    </row>
    <row r="276" customFormat="false" ht="15" hidden="false" customHeight="false" outlineLevel="0" collapsed="false">
      <c r="A276" s="7"/>
      <c r="B276" s="6"/>
      <c r="C276" s="7"/>
      <c r="D276" s="7"/>
      <c r="E276" s="6"/>
    </row>
    <row r="277" customFormat="false" ht="15" hidden="false" customHeight="false" outlineLevel="0" collapsed="false">
      <c r="A277" s="7"/>
      <c r="B277" s="6"/>
      <c r="C277" s="7"/>
      <c r="D277" s="7"/>
      <c r="E277" s="6"/>
    </row>
    <row r="278" customFormat="false" ht="15" hidden="false" customHeight="false" outlineLevel="0" collapsed="false">
      <c r="A278" s="7"/>
      <c r="B278" s="6"/>
      <c r="C278" s="7"/>
      <c r="D278" s="7"/>
      <c r="E278" s="6"/>
    </row>
    <row r="279" customFormat="false" ht="15" hidden="false" customHeight="false" outlineLevel="0" collapsed="false">
      <c r="A279" s="7"/>
      <c r="B279" s="6"/>
      <c r="C279" s="7"/>
      <c r="D279" s="7"/>
      <c r="E279" s="6"/>
    </row>
    <row r="280" customFormat="false" ht="15" hidden="false" customHeight="false" outlineLevel="0" collapsed="false">
      <c r="A280" s="7"/>
      <c r="B280" s="6"/>
      <c r="C280" s="7"/>
      <c r="D280" s="7"/>
      <c r="E280" s="6"/>
    </row>
    <row r="281" customFormat="false" ht="15" hidden="false" customHeight="false" outlineLevel="0" collapsed="false">
      <c r="A281" s="7"/>
      <c r="B281" s="6"/>
      <c r="C281" s="7"/>
      <c r="D281" s="7"/>
      <c r="E281" s="6"/>
    </row>
    <row r="282" customFormat="false" ht="15" hidden="false" customHeight="false" outlineLevel="0" collapsed="false">
      <c r="A282" s="7"/>
      <c r="B282" s="6"/>
      <c r="C282" s="7"/>
      <c r="D282" s="7"/>
      <c r="E282" s="6"/>
    </row>
    <row r="283" customFormat="false" ht="15" hidden="false" customHeight="false" outlineLevel="0" collapsed="false">
      <c r="A283" s="7"/>
      <c r="B283" s="6"/>
      <c r="C283" s="7"/>
      <c r="D283" s="7"/>
      <c r="E283" s="6"/>
    </row>
    <row r="284" customFormat="false" ht="15" hidden="false" customHeight="false" outlineLevel="0" collapsed="false">
      <c r="A284" s="7"/>
      <c r="B284" s="6"/>
      <c r="C284" s="7"/>
      <c r="D284" s="7"/>
      <c r="E284" s="6"/>
    </row>
    <row r="285" customFormat="false" ht="15" hidden="false" customHeight="false" outlineLevel="0" collapsed="false">
      <c r="A285" s="7"/>
      <c r="B285" s="6"/>
      <c r="C285" s="7"/>
      <c r="D285" s="7"/>
      <c r="E285" s="6"/>
    </row>
    <row r="286" customFormat="false" ht="15" hidden="false" customHeight="false" outlineLevel="0" collapsed="false">
      <c r="A286" s="7"/>
      <c r="B286" s="6"/>
      <c r="C286" s="7"/>
      <c r="D286" s="7"/>
      <c r="E286" s="6"/>
    </row>
    <row r="287" customFormat="false" ht="15" hidden="false" customHeight="false" outlineLevel="0" collapsed="false">
      <c r="A287" s="7"/>
      <c r="B287" s="6"/>
      <c r="C287" s="7"/>
      <c r="D287" s="7"/>
      <c r="E287" s="6"/>
    </row>
    <row r="288" customFormat="false" ht="15" hidden="false" customHeight="false" outlineLevel="0" collapsed="false">
      <c r="A288" s="7"/>
      <c r="B288" s="6"/>
      <c r="C288" s="7"/>
      <c r="D288" s="7"/>
      <c r="E288" s="6"/>
    </row>
    <row r="289" customFormat="false" ht="15" hidden="false" customHeight="false" outlineLevel="0" collapsed="false">
      <c r="A289" s="7"/>
      <c r="B289" s="6"/>
      <c r="C289" s="7"/>
      <c r="D289" s="7"/>
      <c r="E289" s="6"/>
    </row>
    <row r="290" customFormat="false" ht="15" hidden="false" customHeight="false" outlineLevel="0" collapsed="false">
      <c r="A290" s="7"/>
      <c r="B290" s="6"/>
      <c r="C290" s="7"/>
      <c r="D290" s="7"/>
      <c r="E290" s="6"/>
    </row>
    <row r="291" customFormat="false" ht="15" hidden="false" customHeight="false" outlineLevel="0" collapsed="false">
      <c r="A291" s="7"/>
      <c r="B291" s="6"/>
      <c r="C291" s="7"/>
      <c r="D291" s="7"/>
      <c r="E291" s="6"/>
    </row>
    <row r="292" customFormat="false" ht="15" hidden="false" customHeight="false" outlineLevel="0" collapsed="false">
      <c r="A292" s="7"/>
      <c r="B292" s="6"/>
      <c r="C292" s="7"/>
      <c r="D292" s="7"/>
      <c r="E292" s="6"/>
    </row>
    <row r="293" customFormat="false" ht="15" hidden="false" customHeight="false" outlineLevel="0" collapsed="false">
      <c r="A293" s="7"/>
      <c r="B293" s="6"/>
      <c r="C293" s="7"/>
      <c r="D293" s="7"/>
      <c r="E293" s="6"/>
    </row>
    <row r="294" customFormat="false" ht="15" hidden="false" customHeight="false" outlineLevel="0" collapsed="false">
      <c r="A294" s="7"/>
      <c r="B294" s="6"/>
      <c r="C294" s="7"/>
      <c r="D294" s="7"/>
      <c r="E294" s="6"/>
    </row>
    <row r="295" customFormat="false" ht="15" hidden="false" customHeight="false" outlineLevel="0" collapsed="false">
      <c r="A295" s="7"/>
      <c r="B295" s="6"/>
      <c r="C295" s="7"/>
      <c r="D295" s="7"/>
      <c r="E295" s="6"/>
    </row>
    <row r="296" customFormat="false" ht="15" hidden="false" customHeight="false" outlineLevel="0" collapsed="false">
      <c r="A296" s="7"/>
      <c r="B296" s="6"/>
      <c r="C296" s="7"/>
      <c r="D296" s="7"/>
      <c r="E296" s="6"/>
    </row>
    <row r="297" customFormat="false" ht="15" hidden="false" customHeight="false" outlineLevel="0" collapsed="false">
      <c r="A297" s="7"/>
      <c r="B297" s="6"/>
      <c r="C297" s="7"/>
      <c r="D297" s="7"/>
      <c r="E297" s="6"/>
    </row>
    <row r="298" customFormat="false" ht="15" hidden="false" customHeight="false" outlineLevel="0" collapsed="false">
      <c r="A298" s="7"/>
      <c r="B298" s="6"/>
      <c r="C298" s="7"/>
      <c r="D298" s="7"/>
      <c r="E298" s="6"/>
    </row>
    <row r="299" customFormat="false" ht="15" hidden="false" customHeight="false" outlineLevel="0" collapsed="false">
      <c r="A299" s="7"/>
      <c r="B299" s="6"/>
      <c r="C299" s="7"/>
      <c r="D299" s="7"/>
      <c r="E299" s="6"/>
    </row>
    <row r="300" customFormat="false" ht="15" hidden="false" customHeight="false" outlineLevel="0" collapsed="false">
      <c r="A300" s="7"/>
      <c r="B300" s="6"/>
      <c r="C300" s="7"/>
      <c r="D300" s="7"/>
      <c r="E300" s="6"/>
    </row>
    <row r="301" customFormat="false" ht="15" hidden="false" customHeight="false" outlineLevel="0" collapsed="false">
      <c r="A301" s="7"/>
      <c r="B301" s="6"/>
      <c r="C301" s="7"/>
      <c r="D301" s="7"/>
      <c r="E301" s="6"/>
    </row>
    <row r="302" customFormat="false" ht="15" hidden="false" customHeight="false" outlineLevel="0" collapsed="false">
      <c r="A302" s="7"/>
      <c r="B302" s="6"/>
      <c r="C302" s="7"/>
      <c r="D302" s="7"/>
      <c r="E302" s="6"/>
    </row>
    <row r="303" customFormat="false" ht="15" hidden="false" customHeight="false" outlineLevel="0" collapsed="false">
      <c r="A303" s="7"/>
      <c r="B303" s="6"/>
      <c r="C303" s="7"/>
      <c r="D303" s="7"/>
      <c r="E303" s="6"/>
    </row>
    <row r="304" customFormat="false" ht="15" hidden="false" customHeight="false" outlineLevel="0" collapsed="false">
      <c r="A304" s="7"/>
      <c r="B304" s="6"/>
      <c r="C304" s="7"/>
      <c r="D304" s="7"/>
      <c r="E304" s="6"/>
    </row>
    <row r="305" customFormat="false" ht="15" hidden="false" customHeight="false" outlineLevel="0" collapsed="false">
      <c r="A305" s="7"/>
      <c r="B305" s="6"/>
      <c r="C305" s="7"/>
      <c r="D305" s="7"/>
      <c r="E305" s="6"/>
    </row>
    <row r="306" customFormat="false" ht="15" hidden="false" customHeight="false" outlineLevel="0" collapsed="false">
      <c r="A306" s="7"/>
      <c r="B306" s="6"/>
      <c r="C306" s="7"/>
      <c r="D306" s="7"/>
      <c r="E306" s="6"/>
    </row>
    <row r="307" customFormat="false" ht="15" hidden="false" customHeight="false" outlineLevel="0" collapsed="false">
      <c r="A307" s="7"/>
      <c r="B307" s="6"/>
      <c r="C307" s="7"/>
      <c r="D307" s="7"/>
      <c r="E307" s="6"/>
    </row>
    <row r="308" customFormat="false" ht="15" hidden="false" customHeight="false" outlineLevel="0" collapsed="false">
      <c r="A308" s="7"/>
      <c r="B308" s="6"/>
      <c r="C308" s="7"/>
      <c r="D308" s="7"/>
      <c r="E308" s="6"/>
    </row>
    <row r="309" customFormat="false" ht="15" hidden="false" customHeight="false" outlineLevel="0" collapsed="false">
      <c r="A309" s="7"/>
      <c r="B309" s="6"/>
      <c r="C309" s="7"/>
      <c r="D309" s="7"/>
      <c r="E309" s="6"/>
    </row>
    <row r="310" customFormat="false" ht="15" hidden="false" customHeight="false" outlineLevel="0" collapsed="false">
      <c r="A310" s="7"/>
      <c r="B310" s="6"/>
      <c r="C310" s="7"/>
      <c r="D310" s="7"/>
      <c r="E310" s="6"/>
    </row>
    <row r="311" customFormat="false" ht="15" hidden="false" customHeight="false" outlineLevel="0" collapsed="false">
      <c r="A311" s="7"/>
      <c r="B311" s="6"/>
      <c r="C311" s="7"/>
      <c r="D311" s="7"/>
      <c r="E311" s="6"/>
    </row>
    <row r="312" customFormat="false" ht="15" hidden="false" customHeight="false" outlineLevel="0" collapsed="false">
      <c r="A312" s="7"/>
      <c r="B312" s="6"/>
      <c r="C312" s="7"/>
      <c r="D312" s="7"/>
      <c r="E312" s="6"/>
    </row>
    <row r="313" customFormat="false" ht="15" hidden="false" customHeight="false" outlineLevel="0" collapsed="false">
      <c r="A313" s="7"/>
      <c r="B313" s="6"/>
      <c r="C313" s="7"/>
      <c r="D313" s="7"/>
      <c r="E313" s="6"/>
    </row>
    <row r="314" customFormat="false" ht="15" hidden="false" customHeight="false" outlineLevel="0" collapsed="false">
      <c r="A314" s="7"/>
      <c r="B314" s="6"/>
      <c r="C314" s="7"/>
      <c r="D314" s="7"/>
      <c r="E314" s="6"/>
    </row>
    <row r="315" customFormat="false" ht="15" hidden="false" customHeight="false" outlineLevel="0" collapsed="false">
      <c r="A315" s="7"/>
      <c r="B315" s="6"/>
      <c r="C315" s="7"/>
      <c r="D315" s="7"/>
      <c r="E315" s="6"/>
    </row>
    <row r="316" customFormat="false" ht="15" hidden="false" customHeight="false" outlineLevel="0" collapsed="false">
      <c r="A316" s="7"/>
      <c r="B316" s="6"/>
      <c r="C316" s="7"/>
      <c r="D316" s="7"/>
      <c r="E316" s="6"/>
    </row>
    <row r="317" customFormat="false" ht="15" hidden="false" customHeight="false" outlineLevel="0" collapsed="false">
      <c r="A317" s="7"/>
      <c r="B317" s="6"/>
      <c r="C317" s="7"/>
      <c r="D317" s="7"/>
      <c r="E317" s="6"/>
    </row>
    <row r="318" customFormat="false" ht="15" hidden="false" customHeight="false" outlineLevel="0" collapsed="false">
      <c r="A318" s="7"/>
      <c r="B318" s="6"/>
      <c r="C318" s="7"/>
      <c r="D318" s="7"/>
      <c r="E318" s="6"/>
    </row>
    <row r="319" customFormat="false" ht="15" hidden="false" customHeight="false" outlineLevel="0" collapsed="false">
      <c r="A319" s="7"/>
      <c r="B319" s="6"/>
      <c r="C319" s="7"/>
      <c r="D319" s="7"/>
      <c r="E319" s="6"/>
    </row>
    <row r="320" customFormat="false" ht="15" hidden="false" customHeight="false" outlineLevel="0" collapsed="false">
      <c r="A320" s="7"/>
      <c r="B320" s="6"/>
      <c r="C320" s="7"/>
      <c r="D320" s="7"/>
      <c r="E320" s="6"/>
    </row>
    <row r="321" customFormat="false" ht="15" hidden="false" customHeight="false" outlineLevel="0" collapsed="false">
      <c r="A321" s="7"/>
      <c r="B321" s="6"/>
      <c r="C321" s="7"/>
      <c r="D321" s="7"/>
      <c r="E321" s="6"/>
    </row>
    <row r="322" customFormat="false" ht="15" hidden="false" customHeight="false" outlineLevel="0" collapsed="false">
      <c r="A322" s="7"/>
      <c r="B322" s="6"/>
      <c r="C322" s="7"/>
      <c r="D322" s="7"/>
      <c r="E322" s="6"/>
    </row>
    <row r="323" customFormat="false" ht="15" hidden="false" customHeight="false" outlineLevel="0" collapsed="false">
      <c r="A323" s="7"/>
      <c r="B323" s="6"/>
      <c r="C323" s="7"/>
      <c r="D323" s="7"/>
      <c r="E323" s="6"/>
    </row>
    <row r="324" customFormat="false" ht="15" hidden="false" customHeight="false" outlineLevel="0" collapsed="false">
      <c r="A324" s="7"/>
      <c r="B324" s="6"/>
      <c r="C324" s="7"/>
      <c r="D324" s="7"/>
      <c r="E324" s="6"/>
    </row>
    <row r="325" customFormat="false" ht="15" hidden="false" customHeight="false" outlineLevel="0" collapsed="false">
      <c r="A325" s="7"/>
      <c r="B325" s="6"/>
      <c r="C325" s="7"/>
      <c r="D325" s="7"/>
      <c r="E325" s="6"/>
    </row>
    <row r="326" customFormat="false" ht="15" hidden="false" customHeight="false" outlineLevel="0" collapsed="false">
      <c r="A326" s="7"/>
      <c r="B326" s="6"/>
      <c r="C326" s="7"/>
      <c r="D326" s="7"/>
      <c r="E326" s="6"/>
    </row>
    <row r="327" customFormat="false" ht="15" hidden="false" customHeight="false" outlineLevel="0" collapsed="false">
      <c r="A327" s="7"/>
      <c r="B327" s="6"/>
      <c r="C327" s="7"/>
      <c r="D327" s="7"/>
      <c r="E327" s="6"/>
    </row>
    <row r="328" customFormat="false" ht="15" hidden="false" customHeight="false" outlineLevel="0" collapsed="false">
      <c r="A328" s="7"/>
      <c r="B328" s="6"/>
      <c r="C328" s="7"/>
      <c r="D328" s="7"/>
      <c r="E328" s="6"/>
    </row>
    <row r="329" customFormat="false" ht="15" hidden="false" customHeight="false" outlineLevel="0" collapsed="false">
      <c r="A329" s="7"/>
      <c r="B329" s="6"/>
      <c r="C329" s="7"/>
      <c r="D329" s="7"/>
      <c r="E329" s="6"/>
    </row>
    <row r="330" customFormat="false" ht="15" hidden="false" customHeight="false" outlineLevel="0" collapsed="false">
      <c r="A330" s="7"/>
      <c r="B330" s="6"/>
      <c r="C330" s="7"/>
      <c r="D330" s="7"/>
      <c r="E330" s="6"/>
    </row>
    <row r="331" customFormat="false" ht="15" hidden="false" customHeight="false" outlineLevel="0" collapsed="false">
      <c r="A331" s="7"/>
      <c r="B331" s="6"/>
      <c r="C331" s="7"/>
      <c r="D331" s="7"/>
      <c r="E331" s="6"/>
    </row>
    <row r="332" customFormat="false" ht="15" hidden="false" customHeight="false" outlineLevel="0" collapsed="false">
      <c r="A332" s="7"/>
      <c r="B332" s="6"/>
      <c r="C332" s="7"/>
      <c r="D332" s="7"/>
      <c r="E332" s="6"/>
    </row>
    <row r="333" customFormat="false" ht="15" hidden="false" customHeight="false" outlineLevel="0" collapsed="false">
      <c r="A333" s="7"/>
      <c r="B333" s="6"/>
      <c r="C333" s="7"/>
      <c r="D333" s="7"/>
      <c r="E333" s="6"/>
    </row>
    <row r="334" customFormat="false" ht="15" hidden="false" customHeight="false" outlineLevel="0" collapsed="false">
      <c r="A334" s="7"/>
      <c r="B334" s="6"/>
      <c r="C334" s="7"/>
      <c r="D334" s="7"/>
      <c r="E334" s="6"/>
    </row>
    <row r="335" customFormat="false" ht="15" hidden="false" customHeight="false" outlineLevel="0" collapsed="false">
      <c r="A335" s="7"/>
      <c r="B335" s="6"/>
      <c r="C335" s="7"/>
      <c r="D335" s="7"/>
      <c r="E335" s="6"/>
    </row>
    <row r="336" customFormat="false" ht="15" hidden="false" customHeight="false" outlineLevel="0" collapsed="false">
      <c r="A336" s="7"/>
      <c r="B336" s="6"/>
      <c r="C336" s="7"/>
      <c r="D336" s="7"/>
      <c r="E336" s="6"/>
    </row>
    <row r="337" customFormat="false" ht="15" hidden="false" customHeight="false" outlineLevel="0" collapsed="false">
      <c r="A337" s="7"/>
      <c r="B337" s="6"/>
      <c r="C337" s="7"/>
      <c r="D337" s="7"/>
      <c r="E337" s="6"/>
    </row>
    <row r="338" customFormat="false" ht="15" hidden="false" customHeight="false" outlineLevel="0" collapsed="false">
      <c r="A338" s="7"/>
      <c r="B338" s="6"/>
      <c r="C338" s="7"/>
      <c r="D338" s="7"/>
      <c r="E338" s="6"/>
    </row>
    <row r="339" customFormat="false" ht="15" hidden="false" customHeight="false" outlineLevel="0" collapsed="false">
      <c r="A339" s="7"/>
      <c r="B339" s="6"/>
      <c r="C339" s="7"/>
      <c r="D339" s="7"/>
      <c r="E339" s="6"/>
    </row>
    <row r="340" customFormat="false" ht="15" hidden="false" customHeight="false" outlineLevel="0" collapsed="false">
      <c r="A340" s="7"/>
      <c r="B340" s="6"/>
      <c r="C340" s="7"/>
      <c r="D340" s="7"/>
      <c r="E340" s="6"/>
    </row>
    <row r="341" customFormat="false" ht="15" hidden="false" customHeight="false" outlineLevel="0" collapsed="false">
      <c r="A341" s="7"/>
      <c r="B341" s="6"/>
      <c r="C341" s="7"/>
      <c r="D341" s="7"/>
      <c r="E341" s="6"/>
    </row>
    <row r="342" customFormat="false" ht="15" hidden="false" customHeight="false" outlineLevel="0" collapsed="false">
      <c r="A342" s="7"/>
      <c r="B342" s="6"/>
      <c r="C342" s="7"/>
      <c r="D342" s="7"/>
      <c r="E342" s="6"/>
    </row>
    <row r="343" customFormat="false" ht="15" hidden="false" customHeight="false" outlineLevel="0" collapsed="false">
      <c r="A343" s="7"/>
      <c r="B343" s="6"/>
      <c r="C343" s="7"/>
      <c r="D343" s="7"/>
      <c r="E343" s="6"/>
    </row>
    <row r="344" customFormat="false" ht="15" hidden="false" customHeight="false" outlineLevel="0" collapsed="false">
      <c r="A344" s="7"/>
      <c r="B344" s="6"/>
      <c r="C344" s="7"/>
      <c r="D344" s="7"/>
      <c r="E344" s="6"/>
    </row>
    <row r="345" customFormat="false" ht="15" hidden="false" customHeight="false" outlineLevel="0" collapsed="false">
      <c r="A345" s="7"/>
      <c r="B345" s="6"/>
      <c r="C345" s="7"/>
      <c r="D345" s="7"/>
      <c r="E345" s="6"/>
    </row>
    <row r="346" customFormat="false" ht="15" hidden="false" customHeight="false" outlineLevel="0" collapsed="false">
      <c r="A346" s="7"/>
      <c r="B346" s="6"/>
      <c r="C346" s="7"/>
      <c r="D346" s="7"/>
      <c r="E346" s="6"/>
    </row>
    <row r="347" customFormat="false" ht="15" hidden="false" customHeight="false" outlineLevel="0" collapsed="false">
      <c r="A347" s="7"/>
      <c r="B347" s="6"/>
      <c r="C347" s="7"/>
      <c r="D347" s="7"/>
      <c r="E347" s="6"/>
    </row>
    <row r="348" customFormat="false" ht="15" hidden="false" customHeight="false" outlineLevel="0" collapsed="false">
      <c r="A348" s="7"/>
      <c r="B348" s="6"/>
      <c r="C348" s="7"/>
      <c r="D348" s="7"/>
      <c r="E348" s="6"/>
    </row>
    <row r="349" customFormat="false" ht="15" hidden="false" customHeight="false" outlineLevel="0" collapsed="false">
      <c r="A349" s="7"/>
      <c r="B349" s="6"/>
      <c r="C349" s="7"/>
      <c r="D349" s="7"/>
      <c r="E349" s="6"/>
    </row>
    <row r="350" customFormat="false" ht="15" hidden="false" customHeight="false" outlineLevel="0" collapsed="false">
      <c r="A350" s="7"/>
      <c r="B350" s="6"/>
      <c r="C350" s="7"/>
      <c r="D350" s="7"/>
      <c r="E350" s="6"/>
    </row>
    <row r="351" customFormat="false" ht="15" hidden="false" customHeight="false" outlineLevel="0" collapsed="false">
      <c r="A351" s="7"/>
      <c r="B351" s="6"/>
      <c r="C351" s="7"/>
      <c r="D351" s="7"/>
      <c r="E351" s="6"/>
    </row>
    <row r="352" customFormat="false" ht="15" hidden="false" customHeight="false" outlineLevel="0" collapsed="false">
      <c r="A352" s="7"/>
      <c r="B352" s="6"/>
      <c r="C352" s="7"/>
      <c r="D352" s="7"/>
      <c r="E352" s="6"/>
    </row>
    <row r="353" customFormat="false" ht="15" hidden="false" customHeight="false" outlineLevel="0" collapsed="false">
      <c r="A353" s="7"/>
      <c r="B353" s="6"/>
      <c r="C353" s="7"/>
      <c r="D353" s="7"/>
      <c r="E353" s="6"/>
    </row>
    <row r="354" customFormat="false" ht="15" hidden="false" customHeight="false" outlineLevel="0" collapsed="false">
      <c r="A354" s="7"/>
      <c r="B354" s="6"/>
      <c r="C354" s="7"/>
      <c r="D354" s="7"/>
      <c r="E354" s="6"/>
    </row>
    <row r="355" customFormat="false" ht="15" hidden="false" customHeight="false" outlineLevel="0" collapsed="false">
      <c r="A355" s="7"/>
      <c r="B355" s="6"/>
      <c r="C355" s="7"/>
      <c r="D355" s="7"/>
      <c r="E355" s="6"/>
    </row>
    <row r="356" customFormat="false" ht="15" hidden="false" customHeight="false" outlineLevel="0" collapsed="false">
      <c r="A356" s="7"/>
      <c r="B356" s="6"/>
      <c r="C356" s="7"/>
      <c r="D356" s="7"/>
      <c r="E356" s="6"/>
    </row>
    <row r="357" customFormat="false" ht="15" hidden="false" customHeight="false" outlineLevel="0" collapsed="false">
      <c r="A357" s="7"/>
      <c r="B357" s="6"/>
      <c r="C357" s="7"/>
      <c r="D357" s="7"/>
      <c r="E357" s="6"/>
    </row>
    <row r="358" customFormat="false" ht="15" hidden="false" customHeight="false" outlineLevel="0" collapsed="false">
      <c r="A358" s="7"/>
      <c r="B358" s="6"/>
      <c r="C358" s="7"/>
      <c r="D358" s="7"/>
      <c r="E358" s="6"/>
    </row>
    <row r="359" customFormat="false" ht="15" hidden="false" customHeight="false" outlineLevel="0" collapsed="false">
      <c r="A359" s="7"/>
      <c r="B359" s="6"/>
      <c r="C359" s="7"/>
      <c r="D359" s="7"/>
      <c r="E359" s="6"/>
    </row>
    <row r="360" customFormat="false" ht="15" hidden="false" customHeight="false" outlineLevel="0" collapsed="false">
      <c r="A360" s="7"/>
      <c r="B360" s="6"/>
      <c r="C360" s="7"/>
      <c r="D360" s="7"/>
      <c r="E360" s="6"/>
    </row>
    <row r="361" customFormat="false" ht="15" hidden="false" customHeight="false" outlineLevel="0" collapsed="false">
      <c r="A361" s="7"/>
      <c r="B361" s="6"/>
      <c r="C361" s="7"/>
      <c r="D361" s="7"/>
      <c r="E361" s="6"/>
    </row>
    <row r="362" customFormat="false" ht="15" hidden="false" customHeight="false" outlineLevel="0" collapsed="false">
      <c r="A362" s="7"/>
      <c r="B362" s="6"/>
      <c r="C362" s="7"/>
      <c r="D362" s="7"/>
      <c r="E362" s="6"/>
    </row>
    <row r="363" customFormat="false" ht="15" hidden="false" customHeight="false" outlineLevel="0" collapsed="false">
      <c r="A363" s="7"/>
      <c r="B363" s="6"/>
      <c r="C363" s="7"/>
      <c r="D363" s="7"/>
      <c r="E363" s="6"/>
    </row>
    <row r="364" customFormat="false" ht="15" hidden="false" customHeight="false" outlineLevel="0" collapsed="false">
      <c r="A364" s="7"/>
      <c r="B364" s="6"/>
      <c r="C364" s="7"/>
      <c r="D364" s="7"/>
      <c r="E364" s="6"/>
    </row>
    <row r="365" customFormat="false" ht="15" hidden="false" customHeight="false" outlineLevel="0" collapsed="false">
      <c r="A365" s="7"/>
      <c r="B365" s="6"/>
      <c r="C365" s="7"/>
      <c r="D365" s="7"/>
      <c r="E365" s="6"/>
    </row>
    <row r="366" customFormat="false" ht="15" hidden="false" customHeight="false" outlineLevel="0" collapsed="false">
      <c r="A366" s="7"/>
      <c r="B366" s="6"/>
      <c r="C366" s="7"/>
      <c r="D366" s="7"/>
      <c r="E366" s="6"/>
    </row>
    <row r="367" customFormat="false" ht="15" hidden="false" customHeight="false" outlineLevel="0" collapsed="false">
      <c r="A367" s="7"/>
      <c r="B367" s="6"/>
      <c r="C367" s="7"/>
      <c r="D367" s="7"/>
      <c r="E367" s="6"/>
    </row>
    <row r="368" customFormat="false" ht="15" hidden="false" customHeight="false" outlineLevel="0" collapsed="false">
      <c r="A368" s="7"/>
      <c r="B368" s="6"/>
      <c r="C368" s="7"/>
      <c r="D368" s="7"/>
      <c r="E368" s="6"/>
    </row>
    <row r="369" customFormat="false" ht="15" hidden="false" customHeight="false" outlineLevel="0" collapsed="false">
      <c r="A369" s="7"/>
      <c r="B369" s="6"/>
      <c r="C369" s="7"/>
      <c r="D369" s="7"/>
      <c r="E369" s="6"/>
    </row>
    <row r="370" customFormat="false" ht="15" hidden="false" customHeight="false" outlineLevel="0" collapsed="false">
      <c r="A370" s="7"/>
      <c r="B370" s="6"/>
      <c r="C370" s="7"/>
      <c r="D370" s="7"/>
      <c r="E370" s="6"/>
    </row>
    <row r="371" customFormat="false" ht="15" hidden="false" customHeight="false" outlineLevel="0" collapsed="false">
      <c r="A371" s="7"/>
      <c r="B371" s="6"/>
      <c r="C371" s="7"/>
      <c r="D371" s="7"/>
      <c r="E371" s="6"/>
    </row>
    <row r="372" customFormat="false" ht="15" hidden="false" customHeight="false" outlineLevel="0" collapsed="false">
      <c r="A372" s="7"/>
      <c r="B372" s="6"/>
      <c r="C372" s="7"/>
      <c r="D372" s="7"/>
      <c r="E372" s="6"/>
    </row>
    <row r="373" customFormat="false" ht="15" hidden="false" customHeight="false" outlineLevel="0" collapsed="false">
      <c r="A373" s="7"/>
      <c r="B373" s="6"/>
      <c r="C373" s="7"/>
      <c r="D373" s="7"/>
      <c r="E373" s="6"/>
    </row>
    <row r="374" customFormat="false" ht="15" hidden="false" customHeight="false" outlineLevel="0" collapsed="false">
      <c r="A374" s="7"/>
      <c r="B374" s="6"/>
      <c r="C374" s="7"/>
      <c r="D374" s="7"/>
      <c r="E374" s="6"/>
    </row>
    <row r="375" customFormat="false" ht="15" hidden="false" customHeight="false" outlineLevel="0" collapsed="false">
      <c r="A375" s="7"/>
      <c r="B375" s="6"/>
      <c r="C375" s="7"/>
      <c r="D375" s="7"/>
      <c r="E375" s="6"/>
    </row>
    <row r="376" customFormat="false" ht="15" hidden="false" customHeight="false" outlineLevel="0" collapsed="false">
      <c r="A376" s="7"/>
      <c r="B376" s="6"/>
      <c r="C376" s="7"/>
      <c r="D376" s="7"/>
      <c r="E376" s="6"/>
    </row>
    <row r="377" customFormat="false" ht="15" hidden="false" customHeight="false" outlineLevel="0" collapsed="false">
      <c r="A377" s="7"/>
      <c r="B377" s="6"/>
      <c r="C377" s="7"/>
      <c r="D377" s="7"/>
      <c r="E377" s="6"/>
    </row>
    <row r="378" customFormat="false" ht="15" hidden="false" customHeight="false" outlineLevel="0" collapsed="false">
      <c r="A378" s="7"/>
      <c r="B378" s="6"/>
      <c r="C378" s="7"/>
      <c r="D378" s="7"/>
      <c r="E378" s="6"/>
    </row>
    <row r="379" customFormat="false" ht="15" hidden="false" customHeight="false" outlineLevel="0" collapsed="false">
      <c r="A379" s="7"/>
      <c r="B379" s="6"/>
      <c r="C379" s="7"/>
      <c r="D379" s="7"/>
      <c r="E379" s="6"/>
    </row>
    <row r="380" customFormat="false" ht="15" hidden="false" customHeight="false" outlineLevel="0" collapsed="false">
      <c r="A380" s="7"/>
      <c r="B380" s="6"/>
      <c r="C380" s="7"/>
      <c r="D380" s="7"/>
      <c r="E380" s="6"/>
    </row>
    <row r="381" customFormat="false" ht="15" hidden="false" customHeight="false" outlineLevel="0" collapsed="false">
      <c r="A381" s="7"/>
      <c r="B381" s="6"/>
      <c r="C381" s="7"/>
      <c r="D381" s="7"/>
      <c r="E381" s="6"/>
    </row>
    <row r="382" customFormat="false" ht="15" hidden="false" customHeight="false" outlineLevel="0" collapsed="false">
      <c r="A382" s="7"/>
      <c r="B382" s="6"/>
      <c r="C382" s="7"/>
      <c r="D382" s="7"/>
      <c r="E382" s="6"/>
    </row>
    <row r="383" customFormat="false" ht="15" hidden="false" customHeight="false" outlineLevel="0" collapsed="false">
      <c r="A383" s="7"/>
      <c r="B383" s="6"/>
      <c r="C383" s="7"/>
      <c r="D383" s="7"/>
      <c r="E383" s="6"/>
    </row>
    <row r="384" customFormat="false" ht="15" hidden="false" customHeight="false" outlineLevel="0" collapsed="false">
      <c r="A384" s="7"/>
      <c r="B384" s="6"/>
      <c r="C384" s="7"/>
      <c r="D384" s="7"/>
      <c r="E384" s="6"/>
    </row>
    <row r="385" customFormat="false" ht="15" hidden="false" customHeight="false" outlineLevel="0" collapsed="false">
      <c r="A385" s="7"/>
      <c r="B385" s="6"/>
      <c r="C385" s="7"/>
      <c r="D385" s="7"/>
      <c r="E385" s="6"/>
    </row>
    <row r="386" customFormat="false" ht="15" hidden="false" customHeight="false" outlineLevel="0" collapsed="false">
      <c r="A386" s="7"/>
      <c r="B386" s="6"/>
      <c r="C386" s="7"/>
      <c r="D386" s="7"/>
      <c r="E386" s="6"/>
    </row>
    <row r="387" customFormat="false" ht="15" hidden="false" customHeight="false" outlineLevel="0" collapsed="false">
      <c r="A387" s="7"/>
      <c r="B387" s="6"/>
      <c r="C387" s="7"/>
      <c r="D387" s="7"/>
      <c r="E387" s="6"/>
    </row>
    <row r="388" customFormat="false" ht="15" hidden="false" customHeight="false" outlineLevel="0" collapsed="false">
      <c r="A388" s="7"/>
      <c r="B388" s="6"/>
      <c r="C388" s="7"/>
      <c r="D388" s="7"/>
      <c r="E388" s="6"/>
    </row>
    <row r="389" customFormat="false" ht="15" hidden="false" customHeight="false" outlineLevel="0" collapsed="false">
      <c r="A389" s="7"/>
      <c r="B389" s="6"/>
      <c r="C389" s="7"/>
      <c r="D389" s="7"/>
      <c r="E389" s="6"/>
    </row>
    <row r="390" customFormat="false" ht="15" hidden="false" customHeight="false" outlineLevel="0" collapsed="false">
      <c r="A390" s="7"/>
      <c r="B390" s="6"/>
      <c r="C390" s="7"/>
      <c r="D390" s="7"/>
      <c r="E390" s="6"/>
    </row>
    <row r="391" customFormat="false" ht="15" hidden="false" customHeight="false" outlineLevel="0" collapsed="false">
      <c r="A391" s="7"/>
      <c r="B391" s="6"/>
      <c r="C391" s="7"/>
      <c r="D391" s="7"/>
      <c r="E391" s="6"/>
    </row>
    <row r="392" customFormat="false" ht="15" hidden="false" customHeight="false" outlineLevel="0" collapsed="false">
      <c r="A392" s="7"/>
      <c r="B392" s="6"/>
      <c r="C392" s="7"/>
      <c r="D392" s="7"/>
      <c r="E392" s="6"/>
    </row>
    <row r="393" customFormat="false" ht="15" hidden="false" customHeight="false" outlineLevel="0" collapsed="false">
      <c r="A393" s="7"/>
      <c r="B393" s="6"/>
      <c r="C393" s="7"/>
      <c r="D393" s="7"/>
      <c r="E393" s="6"/>
    </row>
    <row r="394" customFormat="false" ht="15" hidden="false" customHeight="false" outlineLevel="0" collapsed="false">
      <c r="A394" s="7"/>
      <c r="B394" s="6"/>
      <c r="C394" s="7"/>
      <c r="D394" s="7"/>
      <c r="E394" s="6"/>
    </row>
    <row r="395" customFormat="false" ht="15" hidden="false" customHeight="false" outlineLevel="0" collapsed="false">
      <c r="A395" s="7"/>
      <c r="B395" s="6"/>
      <c r="C395" s="7"/>
      <c r="D395" s="7"/>
      <c r="E395" s="6"/>
    </row>
    <row r="396" customFormat="false" ht="15" hidden="false" customHeight="false" outlineLevel="0" collapsed="false">
      <c r="A396" s="7"/>
      <c r="B396" s="6"/>
      <c r="C396" s="7"/>
      <c r="D396" s="7"/>
      <c r="E396" s="6"/>
    </row>
    <row r="397" customFormat="false" ht="15" hidden="false" customHeight="false" outlineLevel="0" collapsed="false">
      <c r="A397" s="7"/>
      <c r="B397" s="6"/>
      <c r="C397" s="7"/>
      <c r="D397" s="7"/>
      <c r="E397" s="6"/>
    </row>
    <row r="398" customFormat="false" ht="15" hidden="false" customHeight="false" outlineLevel="0" collapsed="false">
      <c r="A398" s="7"/>
      <c r="B398" s="6"/>
      <c r="C398" s="7"/>
      <c r="D398" s="7"/>
      <c r="E398" s="6"/>
    </row>
    <row r="399" customFormat="false" ht="15" hidden="false" customHeight="false" outlineLevel="0" collapsed="false">
      <c r="A399" s="7"/>
      <c r="B399" s="6"/>
      <c r="C399" s="7"/>
      <c r="D399" s="7"/>
      <c r="E399" s="6"/>
    </row>
    <row r="400" customFormat="false" ht="15" hidden="false" customHeight="false" outlineLevel="0" collapsed="false">
      <c r="A400" s="7"/>
      <c r="B400" s="6"/>
      <c r="C400" s="7"/>
      <c r="D400" s="7"/>
      <c r="E400" s="6"/>
    </row>
    <row r="401" customFormat="false" ht="15" hidden="false" customHeight="false" outlineLevel="0" collapsed="false">
      <c r="A401" s="7"/>
      <c r="B401" s="6"/>
      <c r="C401" s="7"/>
      <c r="D401" s="7"/>
      <c r="E401" s="6"/>
    </row>
    <row r="402" customFormat="false" ht="15" hidden="false" customHeight="false" outlineLevel="0" collapsed="false">
      <c r="A402" s="7"/>
      <c r="B402" s="6"/>
      <c r="C402" s="7"/>
      <c r="D402" s="7"/>
      <c r="E402" s="6"/>
    </row>
    <row r="403" customFormat="false" ht="15" hidden="false" customHeight="false" outlineLevel="0" collapsed="false">
      <c r="A403" s="7"/>
      <c r="B403" s="6"/>
      <c r="C403" s="7"/>
      <c r="D403" s="7"/>
      <c r="E403" s="6"/>
    </row>
    <row r="404" customFormat="false" ht="15" hidden="false" customHeight="false" outlineLevel="0" collapsed="false">
      <c r="A404" s="7"/>
      <c r="B404" s="6"/>
      <c r="C404" s="7"/>
      <c r="D404" s="7"/>
      <c r="E404" s="6"/>
    </row>
    <row r="405" customFormat="false" ht="15" hidden="false" customHeight="false" outlineLevel="0" collapsed="false">
      <c r="A405" s="7"/>
      <c r="B405" s="6"/>
      <c r="C405" s="7"/>
      <c r="D405" s="7"/>
      <c r="E405" s="6"/>
    </row>
    <row r="406" customFormat="false" ht="15" hidden="false" customHeight="false" outlineLevel="0" collapsed="false">
      <c r="A406" s="7"/>
      <c r="B406" s="6"/>
      <c r="C406" s="7"/>
      <c r="D406" s="7"/>
      <c r="E406" s="6"/>
    </row>
    <row r="407" customFormat="false" ht="15" hidden="false" customHeight="false" outlineLevel="0" collapsed="false">
      <c r="A407" s="7"/>
      <c r="B407" s="6"/>
      <c r="C407" s="7"/>
      <c r="D407" s="7"/>
      <c r="E407" s="6"/>
    </row>
    <row r="408" customFormat="false" ht="15" hidden="false" customHeight="false" outlineLevel="0" collapsed="false">
      <c r="A408" s="7"/>
      <c r="B408" s="6"/>
      <c r="C408" s="7"/>
      <c r="D408" s="7"/>
      <c r="E408" s="6"/>
    </row>
    <row r="409" customFormat="false" ht="15" hidden="false" customHeight="false" outlineLevel="0" collapsed="false">
      <c r="A409" s="7"/>
      <c r="B409" s="6"/>
      <c r="C409" s="7"/>
      <c r="D409" s="7"/>
      <c r="E409" s="6"/>
    </row>
    <row r="410" customFormat="false" ht="15" hidden="false" customHeight="false" outlineLevel="0" collapsed="false">
      <c r="A410" s="7"/>
      <c r="B410" s="6"/>
      <c r="C410" s="7"/>
      <c r="D410" s="7"/>
      <c r="E410" s="6"/>
    </row>
    <row r="411" customFormat="false" ht="15" hidden="false" customHeight="false" outlineLevel="0" collapsed="false">
      <c r="A411" s="7"/>
      <c r="B411" s="6"/>
      <c r="C411" s="7"/>
      <c r="D411" s="7"/>
      <c r="E411" s="6"/>
    </row>
    <row r="412" customFormat="false" ht="15" hidden="false" customHeight="false" outlineLevel="0" collapsed="false">
      <c r="A412" s="7"/>
      <c r="B412" s="6"/>
      <c r="C412" s="7"/>
      <c r="D412" s="7"/>
      <c r="E412" s="6"/>
    </row>
    <row r="413" customFormat="false" ht="15" hidden="false" customHeight="false" outlineLevel="0" collapsed="false">
      <c r="A413" s="7"/>
      <c r="B413" s="6"/>
      <c r="C413" s="7"/>
      <c r="D413" s="7"/>
      <c r="E413" s="6"/>
    </row>
    <row r="414" customFormat="false" ht="15" hidden="false" customHeight="false" outlineLevel="0" collapsed="false">
      <c r="A414" s="7"/>
      <c r="B414" s="6"/>
      <c r="C414" s="7"/>
      <c r="D414" s="7"/>
      <c r="E414" s="6"/>
    </row>
    <row r="415" customFormat="false" ht="15" hidden="false" customHeight="false" outlineLevel="0" collapsed="false">
      <c r="A415" s="7"/>
      <c r="B415" s="6"/>
      <c r="C415" s="7"/>
      <c r="D415" s="7"/>
      <c r="E415" s="6"/>
    </row>
    <row r="416" customFormat="false" ht="15" hidden="false" customHeight="false" outlineLevel="0" collapsed="false">
      <c r="A416" s="7"/>
      <c r="B416" s="6"/>
      <c r="C416" s="7"/>
      <c r="D416" s="7"/>
      <c r="E416" s="6"/>
    </row>
    <row r="417" customFormat="false" ht="15" hidden="false" customHeight="false" outlineLevel="0" collapsed="false">
      <c r="A417" s="7"/>
      <c r="B417" s="6"/>
      <c r="C417" s="7"/>
      <c r="D417" s="7"/>
      <c r="E417" s="6"/>
    </row>
    <row r="418" customFormat="false" ht="15" hidden="false" customHeight="false" outlineLevel="0" collapsed="false">
      <c r="A418" s="7"/>
      <c r="B418" s="6"/>
      <c r="C418" s="7"/>
      <c r="D418" s="7"/>
      <c r="E418" s="6"/>
    </row>
    <row r="419" customFormat="false" ht="15" hidden="false" customHeight="false" outlineLevel="0" collapsed="false">
      <c r="A419" s="7"/>
      <c r="B419" s="6"/>
      <c r="C419" s="7"/>
      <c r="D419" s="7"/>
      <c r="E419" s="6"/>
    </row>
    <row r="420" customFormat="false" ht="15" hidden="false" customHeight="false" outlineLevel="0" collapsed="false">
      <c r="A420" s="7"/>
      <c r="B420" s="6"/>
      <c r="C420" s="7"/>
      <c r="D420" s="7"/>
      <c r="E420" s="6"/>
    </row>
    <row r="421" customFormat="false" ht="15" hidden="false" customHeight="false" outlineLevel="0" collapsed="false">
      <c r="A421" s="7"/>
      <c r="B421" s="6"/>
      <c r="C421" s="7"/>
      <c r="D421" s="7"/>
      <c r="E421" s="6"/>
    </row>
    <row r="422" customFormat="false" ht="15" hidden="false" customHeight="false" outlineLevel="0" collapsed="false">
      <c r="A422" s="7"/>
      <c r="B422" s="6"/>
      <c r="C422" s="7"/>
      <c r="D422" s="7"/>
      <c r="E422" s="6"/>
    </row>
    <row r="423" customFormat="false" ht="15" hidden="false" customHeight="false" outlineLevel="0" collapsed="false">
      <c r="A423" s="7"/>
      <c r="B423" s="6"/>
      <c r="C423" s="7"/>
      <c r="D423" s="7"/>
      <c r="E423" s="6"/>
    </row>
    <row r="424" customFormat="false" ht="15" hidden="false" customHeight="false" outlineLevel="0" collapsed="false">
      <c r="A424" s="7"/>
      <c r="B424" s="6"/>
      <c r="C424" s="7"/>
      <c r="D424" s="7"/>
      <c r="E424" s="6"/>
    </row>
    <row r="425" customFormat="false" ht="15" hidden="false" customHeight="false" outlineLevel="0" collapsed="false">
      <c r="A425" s="7"/>
      <c r="B425" s="6"/>
      <c r="C425" s="7"/>
      <c r="D425" s="7"/>
      <c r="E425" s="6"/>
    </row>
    <row r="426" customFormat="false" ht="15" hidden="false" customHeight="false" outlineLevel="0" collapsed="false">
      <c r="A426" s="7"/>
      <c r="B426" s="6"/>
      <c r="C426" s="7"/>
      <c r="D426" s="7"/>
      <c r="E426" s="6"/>
    </row>
    <row r="427" customFormat="false" ht="15" hidden="false" customHeight="false" outlineLevel="0" collapsed="false">
      <c r="A427" s="7"/>
      <c r="B427" s="6"/>
      <c r="C427" s="7"/>
      <c r="D427" s="7"/>
      <c r="E427" s="6"/>
    </row>
    <row r="428" customFormat="false" ht="15" hidden="false" customHeight="false" outlineLevel="0" collapsed="false">
      <c r="A428" s="7"/>
      <c r="B428" s="6"/>
      <c r="C428" s="7"/>
      <c r="D428" s="7"/>
      <c r="E428" s="6"/>
    </row>
    <row r="429" customFormat="false" ht="15" hidden="false" customHeight="false" outlineLevel="0" collapsed="false">
      <c r="A429" s="7"/>
      <c r="B429" s="6"/>
      <c r="C429" s="7"/>
      <c r="D429" s="7"/>
      <c r="E429" s="6"/>
    </row>
    <row r="430" customFormat="false" ht="15" hidden="false" customHeight="false" outlineLevel="0" collapsed="false">
      <c r="A430" s="7"/>
      <c r="B430" s="6"/>
      <c r="C430" s="7"/>
      <c r="D430" s="7"/>
      <c r="E430" s="6"/>
    </row>
    <row r="431" customFormat="false" ht="15" hidden="false" customHeight="false" outlineLevel="0" collapsed="false">
      <c r="A431" s="7"/>
      <c r="B431" s="6"/>
      <c r="C431" s="7"/>
      <c r="D431" s="7"/>
      <c r="E431" s="6"/>
    </row>
    <row r="432" customFormat="false" ht="15" hidden="false" customHeight="false" outlineLevel="0" collapsed="false">
      <c r="A432" s="7"/>
      <c r="B432" s="6"/>
      <c r="C432" s="7"/>
      <c r="D432" s="7"/>
      <c r="E432" s="6"/>
    </row>
    <row r="433" customFormat="false" ht="15" hidden="false" customHeight="false" outlineLevel="0" collapsed="false">
      <c r="A433" s="7"/>
      <c r="B433" s="6"/>
      <c r="C433" s="7"/>
      <c r="D433" s="7"/>
      <c r="E433" s="6"/>
    </row>
    <row r="434" customFormat="false" ht="15" hidden="false" customHeight="false" outlineLevel="0" collapsed="false">
      <c r="A434" s="7"/>
      <c r="B434" s="6"/>
      <c r="C434" s="7"/>
      <c r="D434" s="7"/>
      <c r="E434" s="6"/>
    </row>
    <row r="435" customFormat="false" ht="15" hidden="false" customHeight="false" outlineLevel="0" collapsed="false">
      <c r="A435" s="7"/>
      <c r="B435" s="6"/>
      <c r="C435" s="7"/>
      <c r="D435" s="7"/>
      <c r="E435" s="6"/>
    </row>
    <row r="436" customFormat="false" ht="15" hidden="false" customHeight="false" outlineLevel="0" collapsed="false">
      <c r="A436" s="7"/>
      <c r="B436" s="6"/>
      <c r="C436" s="7"/>
      <c r="D436" s="7"/>
      <c r="E436" s="6"/>
    </row>
    <row r="437" customFormat="false" ht="15" hidden="false" customHeight="false" outlineLevel="0" collapsed="false">
      <c r="A437" s="7"/>
      <c r="B437" s="6"/>
      <c r="C437" s="7"/>
      <c r="D437" s="7"/>
      <c r="E437" s="6"/>
    </row>
    <row r="438" customFormat="false" ht="15" hidden="false" customHeight="false" outlineLevel="0" collapsed="false">
      <c r="A438" s="7"/>
      <c r="B438" s="6"/>
      <c r="C438" s="7"/>
      <c r="D438" s="7"/>
      <c r="E438" s="6"/>
    </row>
    <row r="439" customFormat="false" ht="15" hidden="false" customHeight="false" outlineLevel="0" collapsed="false">
      <c r="A439" s="7"/>
      <c r="B439" s="6"/>
      <c r="C439" s="7"/>
      <c r="D439" s="7"/>
      <c r="E439" s="6"/>
    </row>
    <row r="440" customFormat="false" ht="15" hidden="false" customHeight="false" outlineLevel="0" collapsed="false">
      <c r="A440" s="7"/>
      <c r="B440" s="6"/>
      <c r="C440" s="7"/>
      <c r="D440" s="7"/>
      <c r="E440" s="6"/>
    </row>
    <row r="441" customFormat="false" ht="15" hidden="false" customHeight="false" outlineLevel="0" collapsed="false">
      <c r="A441" s="7"/>
      <c r="B441" s="6"/>
      <c r="C441" s="7"/>
      <c r="D441" s="7"/>
      <c r="E441" s="6"/>
    </row>
    <row r="442" customFormat="false" ht="15" hidden="false" customHeight="false" outlineLevel="0" collapsed="false">
      <c r="A442" s="7"/>
      <c r="B442" s="6"/>
      <c r="C442" s="7"/>
      <c r="D442" s="7"/>
      <c r="E442" s="6"/>
    </row>
    <row r="443" customFormat="false" ht="15" hidden="false" customHeight="false" outlineLevel="0" collapsed="false">
      <c r="A443" s="7"/>
      <c r="B443" s="6"/>
      <c r="C443" s="7"/>
      <c r="D443" s="7"/>
      <c r="E443" s="6"/>
    </row>
    <row r="444" customFormat="false" ht="15" hidden="false" customHeight="false" outlineLevel="0" collapsed="false">
      <c r="A444" s="7"/>
      <c r="B444" s="6"/>
      <c r="C444" s="7"/>
      <c r="D444" s="7"/>
      <c r="E444" s="6"/>
    </row>
    <row r="445" customFormat="false" ht="15" hidden="false" customHeight="false" outlineLevel="0" collapsed="false">
      <c r="A445" s="7"/>
      <c r="B445" s="6"/>
      <c r="C445" s="7"/>
      <c r="D445" s="7"/>
      <c r="E445" s="6"/>
    </row>
    <row r="446" customFormat="false" ht="15" hidden="false" customHeight="false" outlineLevel="0" collapsed="false">
      <c r="A446" s="7"/>
      <c r="B446" s="6"/>
      <c r="C446" s="7"/>
      <c r="D446" s="7"/>
      <c r="E446" s="6"/>
    </row>
    <row r="447" customFormat="false" ht="15" hidden="false" customHeight="false" outlineLevel="0" collapsed="false">
      <c r="A447" s="7"/>
      <c r="B447" s="6"/>
      <c r="C447" s="7"/>
      <c r="D447" s="7"/>
      <c r="E447" s="6"/>
    </row>
    <row r="448" customFormat="false" ht="15" hidden="false" customHeight="false" outlineLevel="0" collapsed="false">
      <c r="A448" s="7"/>
      <c r="B448" s="6"/>
      <c r="C448" s="7"/>
      <c r="D448" s="7"/>
      <c r="E448" s="6"/>
    </row>
    <row r="449" customFormat="false" ht="15" hidden="false" customHeight="false" outlineLevel="0" collapsed="false">
      <c r="A449" s="7"/>
      <c r="B449" s="6"/>
      <c r="C449" s="7"/>
      <c r="D449" s="7"/>
      <c r="E449" s="6"/>
    </row>
    <row r="450" customFormat="false" ht="15" hidden="false" customHeight="false" outlineLevel="0" collapsed="false">
      <c r="A450" s="7"/>
      <c r="B450" s="6"/>
      <c r="C450" s="7"/>
      <c r="D450" s="7"/>
      <c r="E450" s="6"/>
    </row>
    <row r="451" customFormat="false" ht="15" hidden="false" customHeight="false" outlineLevel="0" collapsed="false">
      <c r="A451" s="7"/>
      <c r="B451" s="6"/>
      <c r="C451" s="7"/>
      <c r="D451" s="7"/>
      <c r="E451" s="6"/>
    </row>
    <row r="452" customFormat="false" ht="15" hidden="false" customHeight="false" outlineLevel="0" collapsed="false">
      <c r="A452" s="7"/>
      <c r="B452" s="6"/>
      <c r="C452" s="7"/>
      <c r="D452" s="7"/>
      <c r="E452" s="6"/>
    </row>
    <row r="453" customFormat="false" ht="15" hidden="false" customHeight="false" outlineLevel="0" collapsed="false">
      <c r="A453" s="7"/>
      <c r="B453" s="6"/>
      <c r="C453" s="7"/>
      <c r="D453" s="7"/>
      <c r="E453" s="6"/>
    </row>
    <row r="454" customFormat="false" ht="15" hidden="false" customHeight="false" outlineLevel="0" collapsed="false">
      <c r="A454" s="7"/>
      <c r="B454" s="6"/>
      <c r="C454" s="7"/>
      <c r="D454" s="7"/>
      <c r="E454" s="6"/>
    </row>
    <row r="455" customFormat="false" ht="15" hidden="false" customHeight="false" outlineLevel="0" collapsed="false">
      <c r="A455" s="7"/>
      <c r="B455" s="6"/>
      <c r="C455" s="7"/>
      <c r="D455" s="7"/>
      <c r="E455" s="6"/>
    </row>
    <row r="456" customFormat="false" ht="15" hidden="false" customHeight="false" outlineLevel="0" collapsed="false">
      <c r="A456" s="7"/>
      <c r="B456" s="6"/>
      <c r="C456" s="7"/>
      <c r="D456" s="7"/>
      <c r="E456" s="6"/>
    </row>
    <row r="457" customFormat="false" ht="15" hidden="false" customHeight="false" outlineLevel="0" collapsed="false">
      <c r="A457" s="7"/>
      <c r="B457" s="6"/>
      <c r="C457" s="7"/>
      <c r="D457" s="7"/>
      <c r="E457" s="6"/>
    </row>
    <row r="458" customFormat="false" ht="15" hidden="false" customHeight="false" outlineLevel="0" collapsed="false">
      <c r="A458" s="7"/>
      <c r="B458" s="6"/>
      <c r="C458" s="7"/>
      <c r="D458" s="7"/>
      <c r="E458" s="6"/>
    </row>
    <row r="459" customFormat="false" ht="15" hidden="false" customHeight="false" outlineLevel="0" collapsed="false">
      <c r="A459" s="7"/>
      <c r="B459" s="6"/>
      <c r="C459" s="7"/>
      <c r="D459" s="7"/>
      <c r="E459" s="6"/>
    </row>
    <row r="460" customFormat="false" ht="15" hidden="false" customHeight="false" outlineLevel="0" collapsed="false">
      <c r="A460" s="7"/>
      <c r="B460" s="6"/>
      <c r="C460" s="7"/>
      <c r="D460" s="7"/>
      <c r="E460" s="6"/>
    </row>
    <row r="461" customFormat="false" ht="15" hidden="false" customHeight="false" outlineLevel="0" collapsed="false">
      <c r="A461" s="7"/>
      <c r="B461" s="6"/>
      <c r="C461" s="7"/>
      <c r="D461" s="7"/>
      <c r="E461" s="6"/>
    </row>
    <row r="462" customFormat="false" ht="15" hidden="false" customHeight="false" outlineLevel="0" collapsed="false">
      <c r="A462" s="7"/>
      <c r="B462" s="6"/>
      <c r="C462" s="7"/>
      <c r="D462" s="7"/>
      <c r="E462" s="6"/>
    </row>
    <row r="463" customFormat="false" ht="15" hidden="false" customHeight="false" outlineLevel="0" collapsed="false">
      <c r="A463" s="7"/>
      <c r="B463" s="6"/>
      <c r="C463" s="7"/>
      <c r="D463" s="7"/>
      <c r="E463" s="6"/>
    </row>
    <row r="464" customFormat="false" ht="15" hidden="false" customHeight="false" outlineLevel="0" collapsed="false">
      <c r="A464" s="7"/>
      <c r="B464" s="6"/>
      <c r="C464" s="7"/>
      <c r="D464" s="7"/>
      <c r="E464" s="6"/>
    </row>
    <row r="465" customFormat="false" ht="15" hidden="false" customHeight="false" outlineLevel="0" collapsed="false">
      <c r="A465" s="7"/>
      <c r="B465" s="6"/>
      <c r="C465" s="7"/>
      <c r="D465" s="7"/>
      <c r="E465" s="6"/>
    </row>
    <row r="466" customFormat="false" ht="15" hidden="false" customHeight="false" outlineLevel="0" collapsed="false">
      <c r="A466" s="7"/>
      <c r="B466" s="6"/>
      <c r="C466" s="7"/>
      <c r="D466" s="7"/>
      <c r="E466" s="6"/>
    </row>
    <row r="467" customFormat="false" ht="15" hidden="false" customHeight="false" outlineLevel="0" collapsed="false">
      <c r="A467" s="7"/>
      <c r="B467" s="6"/>
      <c r="C467" s="7"/>
      <c r="D467" s="7"/>
      <c r="E467" s="6"/>
    </row>
    <row r="468" customFormat="false" ht="15" hidden="false" customHeight="false" outlineLevel="0" collapsed="false">
      <c r="A468" s="7"/>
      <c r="B468" s="6"/>
      <c r="C468" s="7"/>
      <c r="D468" s="7"/>
      <c r="E468" s="6"/>
    </row>
    <row r="469" customFormat="false" ht="15" hidden="false" customHeight="false" outlineLevel="0" collapsed="false">
      <c r="A469" s="7"/>
      <c r="B469" s="6"/>
      <c r="C469" s="7"/>
      <c r="D469" s="7"/>
      <c r="E469" s="6"/>
    </row>
    <row r="470" customFormat="false" ht="15" hidden="false" customHeight="false" outlineLevel="0" collapsed="false">
      <c r="A470" s="7"/>
      <c r="B470" s="6"/>
      <c r="C470" s="7"/>
      <c r="D470" s="7"/>
      <c r="E470" s="6"/>
    </row>
    <row r="471" customFormat="false" ht="15" hidden="false" customHeight="false" outlineLevel="0" collapsed="false">
      <c r="A471" s="7"/>
      <c r="B471" s="6"/>
      <c r="C471" s="7"/>
      <c r="D471" s="7"/>
      <c r="E471" s="6"/>
    </row>
    <row r="472" customFormat="false" ht="15" hidden="false" customHeight="false" outlineLevel="0" collapsed="false">
      <c r="A472" s="7"/>
      <c r="B472" s="6"/>
      <c r="C472" s="7"/>
      <c r="D472" s="7"/>
      <c r="E472" s="6"/>
    </row>
    <row r="473" customFormat="false" ht="15" hidden="false" customHeight="false" outlineLevel="0" collapsed="false">
      <c r="A473" s="7"/>
      <c r="B473" s="6"/>
      <c r="C473" s="7"/>
      <c r="D473" s="7"/>
      <c r="E473" s="6"/>
    </row>
    <row r="474" customFormat="false" ht="15" hidden="false" customHeight="false" outlineLevel="0" collapsed="false">
      <c r="A474" s="7"/>
      <c r="B474" s="6"/>
      <c r="C474" s="7"/>
      <c r="D474" s="7"/>
      <c r="E474" s="6"/>
    </row>
    <row r="475" customFormat="false" ht="15" hidden="false" customHeight="false" outlineLevel="0" collapsed="false">
      <c r="A475" s="7"/>
      <c r="B475" s="6"/>
      <c r="C475" s="7"/>
      <c r="D475" s="7"/>
      <c r="E475" s="6"/>
    </row>
    <row r="476" customFormat="false" ht="15" hidden="false" customHeight="false" outlineLevel="0" collapsed="false">
      <c r="A476" s="7"/>
      <c r="B476" s="6"/>
      <c r="C476" s="7"/>
      <c r="D476" s="7"/>
      <c r="E476" s="6"/>
    </row>
    <row r="477" customFormat="false" ht="15" hidden="false" customHeight="false" outlineLevel="0" collapsed="false">
      <c r="A477" s="7"/>
      <c r="B477" s="6"/>
      <c r="C477" s="7"/>
      <c r="D477" s="7"/>
      <c r="E477" s="6"/>
    </row>
    <row r="478" customFormat="false" ht="15" hidden="false" customHeight="false" outlineLevel="0" collapsed="false">
      <c r="A478" s="7"/>
      <c r="B478" s="6"/>
      <c r="C478" s="7"/>
      <c r="D478" s="7"/>
      <c r="E478" s="6"/>
    </row>
    <row r="479" customFormat="false" ht="15" hidden="false" customHeight="false" outlineLevel="0" collapsed="false">
      <c r="A479" s="7"/>
      <c r="B479" s="6"/>
      <c r="C479" s="7"/>
      <c r="D479" s="7"/>
      <c r="E479" s="6"/>
    </row>
    <row r="480" customFormat="false" ht="15" hidden="false" customHeight="false" outlineLevel="0" collapsed="false">
      <c r="A480" s="7"/>
      <c r="B480" s="6"/>
      <c r="C480" s="7"/>
      <c r="D480" s="7"/>
      <c r="E480" s="6"/>
    </row>
    <row r="481" customFormat="false" ht="15" hidden="false" customHeight="false" outlineLevel="0" collapsed="false">
      <c r="A481" s="7"/>
      <c r="B481" s="6"/>
      <c r="C481" s="7"/>
      <c r="D481" s="7"/>
      <c r="E481" s="6"/>
    </row>
    <row r="482" customFormat="false" ht="15" hidden="false" customHeight="false" outlineLevel="0" collapsed="false">
      <c r="A482" s="7"/>
      <c r="B482" s="6"/>
      <c r="C482" s="7"/>
      <c r="D482" s="7"/>
      <c r="E482" s="6"/>
    </row>
    <row r="483" customFormat="false" ht="15" hidden="false" customHeight="false" outlineLevel="0" collapsed="false">
      <c r="A483" s="7"/>
      <c r="B483" s="6"/>
      <c r="C483" s="7"/>
      <c r="D483" s="7"/>
      <c r="E483" s="6"/>
    </row>
    <row r="484" customFormat="false" ht="15" hidden="false" customHeight="false" outlineLevel="0" collapsed="false">
      <c r="A484" s="7"/>
      <c r="B484" s="6"/>
      <c r="C484" s="7"/>
      <c r="D484" s="7"/>
      <c r="E484" s="6"/>
    </row>
    <row r="485" customFormat="false" ht="15" hidden="false" customHeight="false" outlineLevel="0" collapsed="false">
      <c r="A485" s="7"/>
      <c r="B485" s="6"/>
      <c r="C485" s="7"/>
      <c r="D485" s="7"/>
      <c r="E485" s="6"/>
    </row>
    <row r="486" customFormat="false" ht="15" hidden="false" customHeight="false" outlineLevel="0" collapsed="false">
      <c r="A486" s="7"/>
      <c r="B486" s="6"/>
      <c r="C486" s="7"/>
      <c r="D486" s="7"/>
      <c r="E486" s="6"/>
    </row>
    <row r="487" customFormat="false" ht="15" hidden="false" customHeight="false" outlineLevel="0" collapsed="false">
      <c r="A487" s="7"/>
      <c r="B487" s="6"/>
      <c r="C487" s="7"/>
      <c r="D487" s="7"/>
      <c r="E487" s="6"/>
    </row>
    <row r="488" customFormat="false" ht="15" hidden="false" customHeight="false" outlineLevel="0" collapsed="false">
      <c r="A488" s="7"/>
      <c r="B488" s="6"/>
      <c r="C488" s="7"/>
      <c r="D488" s="7"/>
      <c r="E488" s="6"/>
    </row>
    <row r="489" customFormat="false" ht="15" hidden="false" customHeight="false" outlineLevel="0" collapsed="false">
      <c r="A489" s="7"/>
      <c r="B489" s="6"/>
      <c r="C489" s="7"/>
      <c r="D489" s="7"/>
      <c r="E489" s="6"/>
    </row>
    <row r="490" customFormat="false" ht="15" hidden="false" customHeight="false" outlineLevel="0" collapsed="false">
      <c r="A490" s="7"/>
      <c r="B490" s="6"/>
      <c r="C490" s="7"/>
      <c r="D490" s="7"/>
      <c r="E490" s="6"/>
    </row>
    <row r="491" customFormat="false" ht="15" hidden="false" customHeight="false" outlineLevel="0" collapsed="false">
      <c r="A491" s="7"/>
      <c r="B491" s="6"/>
      <c r="C491" s="7"/>
      <c r="D491" s="7"/>
      <c r="E491" s="6"/>
    </row>
    <row r="492" customFormat="false" ht="15" hidden="false" customHeight="false" outlineLevel="0" collapsed="false">
      <c r="A492" s="7"/>
      <c r="B492" s="6"/>
      <c r="C492" s="7"/>
      <c r="D492" s="7"/>
      <c r="E492" s="6"/>
    </row>
    <row r="493" customFormat="false" ht="15" hidden="false" customHeight="false" outlineLevel="0" collapsed="false">
      <c r="A493" s="7"/>
      <c r="B493" s="6"/>
      <c r="C493" s="7"/>
      <c r="D493" s="7"/>
      <c r="E493" s="6"/>
    </row>
    <row r="494" customFormat="false" ht="15" hidden="false" customHeight="false" outlineLevel="0" collapsed="false">
      <c r="A494" s="7"/>
      <c r="B494" s="6"/>
      <c r="C494" s="7"/>
      <c r="D494" s="7"/>
      <c r="E494" s="6"/>
    </row>
    <row r="495" customFormat="false" ht="15" hidden="false" customHeight="false" outlineLevel="0" collapsed="false">
      <c r="A495" s="7"/>
      <c r="B495" s="6"/>
      <c r="C495" s="7"/>
      <c r="D495" s="7"/>
      <c r="E495" s="6"/>
    </row>
    <row r="496" customFormat="false" ht="15" hidden="false" customHeight="false" outlineLevel="0" collapsed="false">
      <c r="A496" s="7"/>
      <c r="B496" s="6"/>
      <c r="C496" s="7"/>
      <c r="D496" s="7"/>
      <c r="E496" s="6"/>
    </row>
    <row r="497" customFormat="false" ht="15" hidden="false" customHeight="false" outlineLevel="0" collapsed="false">
      <c r="A497" s="7"/>
      <c r="B497" s="6"/>
      <c r="C497" s="7"/>
      <c r="D497" s="7"/>
      <c r="E497" s="6"/>
    </row>
    <row r="498" customFormat="false" ht="15" hidden="false" customHeight="false" outlineLevel="0" collapsed="false">
      <c r="A498" s="7"/>
      <c r="B498" s="6"/>
      <c r="C498" s="7"/>
      <c r="D498" s="7"/>
      <c r="E498" s="6"/>
    </row>
    <row r="499" customFormat="false" ht="15" hidden="false" customHeight="false" outlineLevel="0" collapsed="false">
      <c r="A499" s="7"/>
      <c r="B499" s="6"/>
      <c r="C499" s="7"/>
      <c r="D499" s="7"/>
      <c r="E499" s="6"/>
    </row>
    <row r="500" customFormat="false" ht="15" hidden="false" customHeight="false" outlineLevel="0" collapsed="false">
      <c r="A500" s="7"/>
      <c r="B500" s="6"/>
      <c r="C500" s="7"/>
      <c r="D500" s="7"/>
      <c r="E500" s="6"/>
    </row>
    <row r="501" customFormat="false" ht="15" hidden="false" customHeight="false" outlineLevel="0" collapsed="false">
      <c r="A501" s="7"/>
      <c r="B501" s="6"/>
      <c r="C501" s="7"/>
      <c r="D501" s="7"/>
      <c r="E501" s="6"/>
    </row>
    <row r="502" customFormat="false" ht="15" hidden="false" customHeight="false" outlineLevel="0" collapsed="false">
      <c r="A502" s="7"/>
      <c r="B502" s="6"/>
      <c r="C502" s="7"/>
      <c r="D502" s="7"/>
      <c r="E502" s="6"/>
    </row>
    <row r="503" customFormat="false" ht="15" hidden="false" customHeight="false" outlineLevel="0" collapsed="false">
      <c r="A503" s="7"/>
      <c r="B503" s="6"/>
      <c r="C503" s="7"/>
      <c r="D503" s="7"/>
      <c r="E503" s="6"/>
    </row>
    <row r="504" customFormat="false" ht="15" hidden="false" customHeight="false" outlineLevel="0" collapsed="false">
      <c r="A504" s="7"/>
      <c r="B504" s="6"/>
      <c r="C504" s="7"/>
      <c r="D504" s="7"/>
      <c r="E504" s="6"/>
    </row>
  </sheetData>
  <mergeCells count="2">
    <mergeCell ref="A1:E1"/>
    <mergeCell ref="A2:E2"/>
  </mergeCells>
  <dataValidations count="1">
    <dataValidation allowBlank="true" error="Escribe Entrada o Salida." errorStyle="stop" errorTitle="Valor no válido" operator="between" showDropDown="false" showErrorMessage="false" showInputMessage="false" sqref="C5:C504" type="list">
      <formula1>"Entrada,Salida"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994A"/>
    <pageSetUpPr fitToPage="false"/>
  </sheetPr>
  <dimension ref="A1:E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43</v>
      </c>
      <c r="B1" s="1"/>
      <c r="C1" s="1"/>
      <c r="D1" s="1"/>
      <c r="E1" s="1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</row>
    <row r="4" customFormat="false" ht="30" hidden="false" customHeight="true" outlineLevel="0" collapsed="false">
      <c r="A4" s="5" t="s">
        <v>17</v>
      </c>
      <c r="B4" s="5" t="s">
        <v>22</v>
      </c>
      <c r="C4" s="5" t="s">
        <v>20</v>
      </c>
      <c r="D4" s="5" t="s">
        <v>45</v>
      </c>
      <c r="E4" s="5" t="s">
        <v>23</v>
      </c>
    </row>
    <row r="5" customFormat="false" ht="15" hidden="false" customHeight="false" outlineLevel="0" collapsed="false">
      <c r="A5" s="11" t="str">
        <f aca="false">IF(Productos!$G5="","",IF(Productos!$G5="OK","",Productos!$A5))</f>
        <v/>
      </c>
      <c r="B5" s="12" t="str">
        <f aca="false">IF($A5="","",Productos!$F5)</f>
        <v/>
      </c>
      <c r="C5" s="12" t="str">
        <f aca="false">IF($A5="","",Productos!$D5)</f>
        <v/>
      </c>
      <c r="D5" s="9" t="str">
        <f aca="false">IF($A5="","",MAX(Productos!$D5*2-Productos!$F5,Productos!$D5))</f>
        <v/>
      </c>
      <c r="E5" s="10" t="str">
        <f aca="false">IF($A5="","",Productos!$G5)</f>
        <v/>
      </c>
    </row>
    <row r="6" customFormat="false" ht="15" hidden="false" customHeight="false" outlineLevel="0" collapsed="false">
      <c r="A6" s="11" t="str">
        <f aca="false">IF(Productos!$G6="","",IF(Productos!$G6="OK","",Productos!$A6))</f>
        <v/>
      </c>
      <c r="B6" s="12" t="str">
        <f aca="false">IF($A6="","",Productos!$F6)</f>
        <v/>
      </c>
      <c r="C6" s="12" t="str">
        <f aca="false">IF($A6="","",Productos!$D6)</f>
        <v/>
      </c>
      <c r="D6" s="9" t="str">
        <f aca="false">IF($A6="","",MAX(Productos!$D6*2-Productos!$F6,Productos!$D6))</f>
        <v/>
      </c>
      <c r="E6" s="10" t="str">
        <f aca="false">IF($A6="","",Productos!$G6)</f>
        <v/>
      </c>
    </row>
    <row r="7" customFormat="false" ht="15" hidden="false" customHeight="false" outlineLevel="0" collapsed="false">
      <c r="A7" s="11" t="str">
        <f aca="false">IF(Productos!$G7="","",IF(Productos!$G7="OK","",Productos!$A7))</f>
        <v/>
      </c>
      <c r="B7" s="12" t="str">
        <f aca="false">IF($A7="","",Productos!$F7)</f>
        <v/>
      </c>
      <c r="C7" s="12" t="str">
        <f aca="false">IF($A7="","",Productos!$D7)</f>
        <v/>
      </c>
      <c r="D7" s="9" t="str">
        <f aca="false">IF($A7="","",MAX(Productos!$D7*2-Productos!$F7,Productos!$D7))</f>
        <v/>
      </c>
      <c r="E7" s="10" t="str">
        <f aca="false">IF($A7="","",Productos!$G7)</f>
        <v/>
      </c>
    </row>
    <row r="8" customFormat="false" ht="15" hidden="false" customHeight="false" outlineLevel="0" collapsed="false">
      <c r="A8" s="11" t="str">
        <f aca="false">IF(Productos!$G8="","",IF(Productos!$G8="OK","",Productos!$A8))</f>
        <v>Pan de molde</v>
      </c>
      <c r="B8" s="12" t="n">
        <f aca="false">IF($A8="","",Productos!$F8)</f>
        <v>2</v>
      </c>
      <c r="C8" s="12" t="n">
        <f aca="false">IF($A8="","",Productos!$D8)</f>
        <v>6</v>
      </c>
      <c r="D8" s="9" t="n">
        <f aca="false">IF($A8="","",MAX(Productos!$D8*2-Productos!$F8,Productos!$D8))</f>
        <v>10</v>
      </c>
      <c r="E8" s="10" t="str">
        <f aca="false">IF($A8="","",Productos!$G8)</f>
        <v>REPONER</v>
      </c>
    </row>
    <row r="9" customFormat="false" ht="15" hidden="false" customHeight="false" outlineLevel="0" collapsed="false">
      <c r="A9" s="11" t="str">
        <f aca="false">IF(Productos!$G9="","",IF(Productos!$G9="OK","",Productos!$A9))</f>
        <v/>
      </c>
      <c r="B9" s="12" t="str">
        <f aca="false">IF($A9="","",Productos!$F9)</f>
        <v/>
      </c>
      <c r="C9" s="12" t="str">
        <f aca="false">IF($A9="","",Productos!$D9)</f>
        <v/>
      </c>
      <c r="D9" s="9" t="str">
        <f aca="false">IF($A9="","",MAX(Productos!$D9*2-Productos!$F9,Productos!$D9))</f>
        <v/>
      </c>
      <c r="E9" s="10" t="str">
        <f aca="false">IF($A9="","",Productos!$G9)</f>
        <v/>
      </c>
    </row>
    <row r="10" customFormat="false" ht="15" hidden="false" customHeight="false" outlineLevel="0" collapsed="false">
      <c r="A10" s="11" t="str">
        <f aca="false">IF(Productos!$G10="","",IF(Productos!$G10="OK","",Productos!$A10))</f>
        <v/>
      </c>
      <c r="B10" s="12" t="str">
        <f aca="false">IF($A10="","",Productos!$F10)</f>
        <v/>
      </c>
      <c r="C10" s="12" t="str">
        <f aca="false">IF($A10="","",Productos!$D10)</f>
        <v/>
      </c>
      <c r="D10" s="9" t="str">
        <f aca="false">IF($A10="","",MAX(Productos!$D10*2-Productos!$F10,Productos!$D10))</f>
        <v/>
      </c>
      <c r="E10" s="10" t="str">
        <f aca="false">IF($A10="","",Productos!$G10)</f>
        <v/>
      </c>
    </row>
    <row r="11" customFormat="false" ht="15" hidden="false" customHeight="false" outlineLevel="0" collapsed="false">
      <c r="A11" s="11" t="str">
        <f aca="false">IF(Productos!$G11="","",IF(Productos!$G11="OK","",Productos!$A11))</f>
        <v/>
      </c>
      <c r="B11" s="12" t="str">
        <f aca="false">IF($A11="","",Productos!$F11)</f>
        <v/>
      </c>
      <c r="C11" s="12" t="str">
        <f aca="false">IF($A11="","",Productos!$D11)</f>
        <v/>
      </c>
      <c r="D11" s="9" t="str">
        <f aca="false">IF($A11="","",MAX(Productos!$D11*2-Productos!$F11,Productos!$D11))</f>
        <v/>
      </c>
      <c r="E11" s="10" t="str">
        <f aca="false">IF($A11="","",Productos!$G11)</f>
        <v/>
      </c>
    </row>
    <row r="12" customFormat="false" ht="15" hidden="false" customHeight="false" outlineLevel="0" collapsed="false">
      <c r="A12" s="11" t="str">
        <f aca="false">IF(Productos!$G12="","",IF(Productos!$G12="OK","",Productos!$A12))</f>
        <v/>
      </c>
      <c r="B12" s="12" t="str">
        <f aca="false">IF($A12="","",Productos!$F12)</f>
        <v/>
      </c>
      <c r="C12" s="12" t="str">
        <f aca="false">IF($A12="","",Productos!$D12)</f>
        <v/>
      </c>
      <c r="D12" s="9" t="str">
        <f aca="false">IF($A12="","",MAX(Productos!$D12*2-Productos!$F12,Productos!$D12))</f>
        <v/>
      </c>
      <c r="E12" s="10" t="str">
        <f aca="false">IF($A12="","",Productos!$G12)</f>
        <v/>
      </c>
    </row>
    <row r="13" customFormat="false" ht="15" hidden="false" customHeight="false" outlineLevel="0" collapsed="false">
      <c r="A13" s="11" t="str">
        <f aca="false">IF(Productos!$G13="","",IF(Productos!$G13="OK","",Productos!$A13))</f>
        <v/>
      </c>
      <c r="B13" s="12" t="str">
        <f aca="false">IF($A13="","",Productos!$F13)</f>
        <v/>
      </c>
      <c r="C13" s="12" t="str">
        <f aca="false">IF($A13="","",Productos!$D13)</f>
        <v/>
      </c>
      <c r="D13" s="9" t="str">
        <f aca="false">IF($A13="","",MAX(Productos!$D13*2-Productos!$F13,Productos!$D13))</f>
        <v/>
      </c>
      <c r="E13" s="10" t="str">
        <f aca="false">IF($A13="","",Productos!$G13)</f>
        <v/>
      </c>
    </row>
    <row r="14" customFormat="false" ht="15" hidden="false" customHeight="false" outlineLevel="0" collapsed="false">
      <c r="A14" s="11" t="str">
        <f aca="false">IF(Productos!$G14="","",IF(Productos!$G14="OK","",Productos!$A14))</f>
        <v/>
      </c>
      <c r="B14" s="12" t="str">
        <f aca="false">IF($A14="","",Productos!$F14)</f>
        <v/>
      </c>
      <c r="C14" s="12" t="str">
        <f aca="false">IF($A14="","",Productos!$D14)</f>
        <v/>
      </c>
      <c r="D14" s="9" t="str">
        <f aca="false">IF($A14="","",MAX(Productos!$D14*2-Productos!$F14,Productos!$D14))</f>
        <v/>
      </c>
      <c r="E14" s="10" t="str">
        <f aca="false">IF($A14="","",Productos!$G14)</f>
        <v/>
      </c>
    </row>
    <row r="15" customFormat="false" ht="15" hidden="false" customHeight="false" outlineLevel="0" collapsed="false">
      <c r="A15" s="11" t="str">
        <f aca="false">IF(Productos!$G15="","",IF(Productos!$G15="OK","",Productos!$A15))</f>
        <v/>
      </c>
      <c r="B15" s="12" t="str">
        <f aca="false">IF($A15="","",Productos!$F15)</f>
        <v/>
      </c>
      <c r="C15" s="12" t="str">
        <f aca="false">IF($A15="","",Productos!$D15)</f>
        <v/>
      </c>
      <c r="D15" s="9" t="str">
        <f aca="false">IF($A15="","",MAX(Productos!$D15*2-Productos!$F15,Productos!$D15))</f>
        <v/>
      </c>
      <c r="E15" s="10" t="str">
        <f aca="false">IF($A15="","",Productos!$G15)</f>
        <v/>
      </c>
    </row>
    <row r="16" customFormat="false" ht="15" hidden="false" customHeight="false" outlineLevel="0" collapsed="false">
      <c r="A16" s="11" t="str">
        <f aca="false">IF(Productos!$G16="","",IF(Productos!$G16="OK","",Productos!$A16))</f>
        <v/>
      </c>
      <c r="B16" s="12" t="str">
        <f aca="false">IF($A16="","",Productos!$F16)</f>
        <v/>
      </c>
      <c r="C16" s="12" t="str">
        <f aca="false">IF($A16="","",Productos!$D16)</f>
        <v/>
      </c>
      <c r="D16" s="9" t="str">
        <f aca="false">IF($A16="","",MAX(Productos!$D16*2-Productos!$F16,Productos!$D16))</f>
        <v/>
      </c>
      <c r="E16" s="10" t="str">
        <f aca="false">IF($A16="","",Productos!$G16)</f>
        <v/>
      </c>
    </row>
    <row r="17" customFormat="false" ht="15" hidden="false" customHeight="false" outlineLevel="0" collapsed="false">
      <c r="A17" s="11" t="str">
        <f aca="false">IF(Productos!$G17="","",IF(Productos!$G17="OK","",Productos!$A17))</f>
        <v/>
      </c>
      <c r="B17" s="12" t="str">
        <f aca="false">IF($A17="","",Productos!$F17)</f>
        <v/>
      </c>
      <c r="C17" s="12" t="str">
        <f aca="false">IF($A17="","",Productos!$D17)</f>
        <v/>
      </c>
      <c r="D17" s="9" t="str">
        <f aca="false">IF($A17="","",MAX(Productos!$D17*2-Productos!$F17,Productos!$D17))</f>
        <v/>
      </c>
      <c r="E17" s="10" t="str">
        <f aca="false">IF($A17="","",Productos!$G17)</f>
        <v/>
      </c>
    </row>
    <row r="18" customFormat="false" ht="15" hidden="false" customHeight="false" outlineLevel="0" collapsed="false">
      <c r="A18" s="11" t="str">
        <f aca="false">IF(Productos!$G18="","",IF(Productos!$G18="OK","",Productos!$A18))</f>
        <v/>
      </c>
      <c r="B18" s="12" t="str">
        <f aca="false">IF($A18="","",Productos!$F18)</f>
        <v/>
      </c>
      <c r="C18" s="12" t="str">
        <f aca="false">IF($A18="","",Productos!$D18)</f>
        <v/>
      </c>
      <c r="D18" s="9" t="str">
        <f aca="false">IF($A18="","",MAX(Productos!$D18*2-Productos!$F18,Productos!$D18))</f>
        <v/>
      </c>
      <c r="E18" s="10" t="str">
        <f aca="false">IF($A18="","",Productos!$G18)</f>
        <v/>
      </c>
    </row>
    <row r="19" customFormat="false" ht="15" hidden="false" customHeight="false" outlineLevel="0" collapsed="false">
      <c r="A19" s="11" t="str">
        <f aca="false">IF(Productos!$G19="","",IF(Productos!$G19="OK","",Productos!$A19))</f>
        <v/>
      </c>
      <c r="B19" s="12" t="str">
        <f aca="false">IF($A19="","",Productos!$F19)</f>
        <v/>
      </c>
      <c r="C19" s="12" t="str">
        <f aca="false">IF($A19="","",Productos!$D19)</f>
        <v/>
      </c>
      <c r="D19" s="9" t="str">
        <f aca="false">IF($A19="","",MAX(Productos!$D19*2-Productos!$F19,Productos!$D19))</f>
        <v/>
      </c>
      <c r="E19" s="10" t="str">
        <f aca="false">IF($A19="","",Productos!$G19)</f>
        <v/>
      </c>
    </row>
    <row r="20" customFormat="false" ht="15" hidden="false" customHeight="false" outlineLevel="0" collapsed="false">
      <c r="A20" s="11" t="str">
        <f aca="false">IF(Productos!$G20="","",IF(Productos!$G20="OK","",Productos!$A20))</f>
        <v/>
      </c>
      <c r="B20" s="12" t="str">
        <f aca="false">IF($A20="","",Productos!$F20)</f>
        <v/>
      </c>
      <c r="C20" s="12" t="str">
        <f aca="false">IF($A20="","",Productos!$D20)</f>
        <v/>
      </c>
      <c r="D20" s="9" t="str">
        <f aca="false">IF($A20="","",MAX(Productos!$D20*2-Productos!$F20,Productos!$D20))</f>
        <v/>
      </c>
      <c r="E20" s="10" t="str">
        <f aca="false">IF($A20="","",Productos!$G20)</f>
        <v/>
      </c>
    </row>
    <row r="21" customFormat="false" ht="15" hidden="false" customHeight="false" outlineLevel="0" collapsed="false">
      <c r="A21" s="11" t="str">
        <f aca="false">IF(Productos!$G21="","",IF(Productos!$G21="OK","",Productos!$A21))</f>
        <v/>
      </c>
      <c r="B21" s="12" t="str">
        <f aca="false">IF($A21="","",Productos!$F21)</f>
        <v/>
      </c>
      <c r="C21" s="12" t="str">
        <f aca="false">IF($A21="","",Productos!$D21)</f>
        <v/>
      </c>
      <c r="D21" s="9" t="str">
        <f aca="false">IF($A21="","",MAX(Productos!$D21*2-Productos!$F21,Productos!$D21))</f>
        <v/>
      </c>
      <c r="E21" s="10" t="str">
        <f aca="false">IF($A21="","",Productos!$G21)</f>
        <v/>
      </c>
    </row>
    <row r="22" customFormat="false" ht="15" hidden="false" customHeight="false" outlineLevel="0" collapsed="false">
      <c r="A22" s="11" t="str">
        <f aca="false">IF(Productos!$G22="","",IF(Productos!$G22="OK","",Productos!$A22))</f>
        <v/>
      </c>
      <c r="B22" s="12" t="str">
        <f aca="false">IF($A22="","",Productos!$F22)</f>
        <v/>
      </c>
      <c r="C22" s="12" t="str">
        <f aca="false">IF($A22="","",Productos!$D22)</f>
        <v/>
      </c>
      <c r="D22" s="9" t="str">
        <f aca="false">IF($A22="","",MAX(Productos!$D22*2-Productos!$F22,Productos!$D22))</f>
        <v/>
      </c>
      <c r="E22" s="10" t="str">
        <f aca="false">IF($A22="","",Productos!$G22)</f>
        <v/>
      </c>
    </row>
    <row r="23" customFormat="false" ht="15" hidden="false" customHeight="false" outlineLevel="0" collapsed="false">
      <c r="A23" s="11" t="str">
        <f aca="false">IF(Productos!$G23="","",IF(Productos!$G23="OK","",Productos!$A23))</f>
        <v/>
      </c>
      <c r="B23" s="12" t="str">
        <f aca="false">IF($A23="","",Productos!$F23)</f>
        <v/>
      </c>
      <c r="C23" s="12" t="str">
        <f aca="false">IF($A23="","",Productos!$D23)</f>
        <v/>
      </c>
      <c r="D23" s="9" t="str">
        <f aca="false">IF($A23="","",MAX(Productos!$D23*2-Productos!$F23,Productos!$D23))</f>
        <v/>
      </c>
      <c r="E23" s="10" t="str">
        <f aca="false">IF($A23="","",Productos!$G23)</f>
        <v/>
      </c>
    </row>
    <row r="24" customFormat="false" ht="15" hidden="false" customHeight="false" outlineLevel="0" collapsed="false">
      <c r="A24" s="11" t="str">
        <f aca="false">IF(Productos!$G24="","",IF(Productos!$G24="OK","",Productos!$A24))</f>
        <v/>
      </c>
      <c r="B24" s="12" t="str">
        <f aca="false">IF($A24="","",Productos!$F24)</f>
        <v/>
      </c>
      <c r="C24" s="12" t="str">
        <f aca="false">IF($A24="","",Productos!$D24)</f>
        <v/>
      </c>
      <c r="D24" s="9" t="str">
        <f aca="false">IF($A24="","",MAX(Productos!$D24*2-Productos!$F24,Productos!$D24))</f>
        <v/>
      </c>
      <c r="E24" s="10" t="str">
        <f aca="false">IF($A24="","",Productos!$G24)</f>
        <v/>
      </c>
    </row>
    <row r="25" customFormat="false" ht="15" hidden="false" customHeight="false" outlineLevel="0" collapsed="false">
      <c r="A25" s="11" t="str">
        <f aca="false">IF(Productos!$G25="","",IF(Productos!$G25="OK","",Productos!$A25))</f>
        <v/>
      </c>
      <c r="B25" s="12" t="str">
        <f aca="false">IF($A25="","",Productos!$F25)</f>
        <v/>
      </c>
      <c r="C25" s="12" t="str">
        <f aca="false">IF($A25="","",Productos!$D25)</f>
        <v/>
      </c>
      <c r="D25" s="9" t="str">
        <f aca="false">IF($A25="","",MAX(Productos!$D25*2-Productos!$F25,Productos!$D25))</f>
        <v/>
      </c>
      <c r="E25" s="10" t="str">
        <f aca="false">IF($A25="","",Productos!$G25)</f>
        <v/>
      </c>
    </row>
    <row r="26" customFormat="false" ht="15" hidden="false" customHeight="false" outlineLevel="0" collapsed="false">
      <c r="A26" s="11" t="str">
        <f aca="false">IF(Productos!$G26="","",IF(Productos!$G26="OK","",Productos!$A26))</f>
        <v/>
      </c>
      <c r="B26" s="12" t="str">
        <f aca="false">IF($A26="","",Productos!$F26)</f>
        <v/>
      </c>
      <c r="C26" s="12" t="str">
        <f aca="false">IF($A26="","",Productos!$D26)</f>
        <v/>
      </c>
      <c r="D26" s="9" t="str">
        <f aca="false">IF($A26="","",MAX(Productos!$D26*2-Productos!$F26,Productos!$D26))</f>
        <v/>
      </c>
      <c r="E26" s="10" t="str">
        <f aca="false">IF($A26="","",Productos!$G26)</f>
        <v/>
      </c>
    </row>
    <row r="27" customFormat="false" ht="15" hidden="false" customHeight="false" outlineLevel="0" collapsed="false">
      <c r="A27" s="11" t="str">
        <f aca="false">IF(Productos!$G27="","",IF(Productos!$G27="OK","",Productos!$A27))</f>
        <v/>
      </c>
      <c r="B27" s="12" t="str">
        <f aca="false">IF($A27="","",Productos!$F27)</f>
        <v/>
      </c>
      <c r="C27" s="12" t="str">
        <f aca="false">IF($A27="","",Productos!$D27)</f>
        <v/>
      </c>
      <c r="D27" s="9" t="str">
        <f aca="false">IF($A27="","",MAX(Productos!$D27*2-Productos!$F27,Productos!$D27))</f>
        <v/>
      </c>
      <c r="E27" s="10" t="str">
        <f aca="false">IF($A27="","",Productos!$G27)</f>
        <v/>
      </c>
    </row>
    <row r="28" customFormat="false" ht="15" hidden="false" customHeight="false" outlineLevel="0" collapsed="false">
      <c r="A28" s="11" t="str">
        <f aca="false">IF(Productos!$G28="","",IF(Productos!$G28="OK","",Productos!$A28))</f>
        <v/>
      </c>
      <c r="B28" s="12" t="str">
        <f aca="false">IF($A28="","",Productos!$F28)</f>
        <v/>
      </c>
      <c r="C28" s="12" t="str">
        <f aca="false">IF($A28="","",Productos!$D28)</f>
        <v/>
      </c>
      <c r="D28" s="9" t="str">
        <f aca="false">IF($A28="","",MAX(Productos!$D28*2-Productos!$F28,Productos!$D28))</f>
        <v/>
      </c>
      <c r="E28" s="10" t="str">
        <f aca="false">IF($A28="","",Productos!$G28)</f>
        <v/>
      </c>
    </row>
    <row r="29" customFormat="false" ht="15" hidden="false" customHeight="false" outlineLevel="0" collapsed="false">
      <c r="A29" s="11" t="str">
        <f aca="false">IF(Productos!$G29="","",IF(Productos!$G29="OK","",Productos!$A29))</f>
        <v/>
      </c>
      <c r="B29" s="12" t="str">
        <f aca="false">IF($A29="","",Productos!$F29)</f>
        <v/>
      </c>
      <c r="C29" s="12" t="str">
        <f aca="false">IF($A29="","",Productos!$D29)</f>
        <v/>
      </c>
      <c r="D29" s="9" t="str">
        <f aca="false">IF($A29="","",MAX(Productos!$D29*2-Productos!$F29,Productos!$D29))</f>
        <v/>
      </c>
      <c r="E29" s="10" t="str">
        <f aca="false">IF($A29="","",Productos!$G29)</f>
        <v/>
      </c>
    </row>
    <row r="30" customFormat="false" ht="15" hidden="false" customHeight="false" outlineLevel="0" collapsed="false">
      <c r="A30" s="11" t="str">
        <f aca="false">IF(Productos!$G30="","",IF(Productos!$G30="OK","",Productos!$A30))</f>
        <v/>
      </c>
      <c r="B30" s="12" t="str">
        <f aca="false">IF($A30="","",Productos!$F30)</f>
        <v/>
      </c>
      <c r="C30" s="12" t="str">
        <f aca="false">IF($A30="","",Productos!$D30)</f>
        <v/>
      </c>
      <c r="D30" s="9" t="str">
        <f aca="false">IF($A30="","",MAX(Productos!$D30*2-Productos!$F30,Productos!$D30))</f>
        <v/>
      </c>
      <c r="E30" s="10" t="str">
        <f aca="false">IF($A30="","",Productos!$G30)</f>
        <v/>
      </c>
    </row>
    <row r="31" customFormat="false" ht="15" hidden="false" customHeight="false" outlineLevel="0" collapsed="false">
      <c r="A31" s="11" t="str">
        <f aca="false">IF(Productos!$G31="","",IF(Productos!$G31="OK","",Productos!$A31))</f>
        <v/>
      </c>
      <c r="B31" s="12" t="str">
        <f aca="false">IF($A31="","",Productos!$F31)</f>
        <v/>
      </c>
      <c r="C31" s="12" t="str">
        <f aca="false">IF($A31="","",Productos!$D31)</f>
        <v/>
      </c>
      <c r="D31" s="9" t="str">
        <f aca="false">IF($A31="","",MAX(Productos!$D31*2-Productos!$F31,Productos!$D31))</f>
        <v/>
      </c>
      <c r="E31" s="10" t="str">
        <f aca="false">IF($A31="","",Productos!$G31)</f>
        <v/>
      </c>
    </row>
    <row r="32" customFormat="false" ht="15" hidden="false" customHeight="false" outlineLevel="0" collapsed="false">
      <c r="A32" s="11" t="str">
        <f aca="false">IF(Productos!$G32="","",IF(Productos!$G32="OK","",Productos!$A32))</f>
        <v/>
      </c>
      <c r="B32" s="12" t="str">
        <f aca="false">IF($A32="","",Productos!$F32)</f>
        <v/>
      </c>
      <c r="C32" s="12" t="str">
        <f aca="false">IF($A32="","",Productos!$D32)</f>
        <v/>
      </c>
      <c r="D32" s="9" t="str">
        <f aca="false">IF($A32="","",MAX(Productos!$D32*2-Productos!$F32,Productos!$D32))</f>
        <v/>
      </c>
      <c r="E32" s="10" t="str">
        <f aca="false">IF($A32="","",Productos!$G32)</f>
        <v/>
      </c>
    </row>
    <row r="33" customFormat="false" ht="15" hidden="false" customHeight="false" outlineLevel="0" collapsed="false">
      <c r="A33" s="11" t="str">
        <f aca="false">IF(Productos!$G33="","",IF(Productos!$G33="OK","",Productos!$A33))</f>
        <v/>
      </c>
      <c r="B33" s="12" t="str">
        <f aca="false">IF($A33="","",Productos!$F33)</f>
        <v/>
      </c>
      <c r="C33" s="12" t="str">
        <f aca="false">IF($A33="","",Productos!$D33)</f>
        <v/>
      </c>
      <c r="D33" s="9" t="str">
        <f aca="false">IF($A33="","",MAX(Productos!$D33*2-Productos!$F33,Productos!$D33))</f>
        <v/>
      </c>
      <c r="E33" s="10" t="str">
        <f aca="false">IF($A33="","",Productos!$G33)</f>
        <v/>
      </c>
    </row>
    <row r="34" customFormat="false" ht="15" hidden="false" customHeight="false" outlineLevel="0" collapsed="false">
      <c r="A34" s="11" t="str">
        <f aca="false">IF(Productos!$G34="","",IF(Productos!$G34="OK","",Productos!$A34))</f>
        <v/>
      </c>
      <c r="B34" s="12" t="str">
        <f aca="false">IF($A34="","",Productos!$F34)</f>
        <v/>
      </c>
      <c r="C34" s="12" t="str">
        <f aca="false">IF($A34="","",Productos!$D34)</f>
        <v/>
      </c>
      <c r="D34" s="9" t="str">
        <f aca="false">IF($A34="","",MAX(Productos!$D34*2-Productos!$F34,Productos!$D34))</f>
        <v/>
      </c>
      <c r="E34" s="10" t="str">
        <f aca="false">IF($A34="","",Productos!$G34)</f>
        <v/>
      </c>
    </row>
    <row r="35" customFormat="false" ht="15" hidden="false" customHeight="false" outlineLevel="0" collapsed="false">
      <c r="A35" s="11" t="str">
        <f aca="false">IF(Productos!$G35="","",IF(Productos!$G35="OK","",Productos!$A35))</f>
        <v/>
      </c>
      <c r="B35" s="12" t="str">
        <f aca="false">IF($A35="","",Productos!$F35)</f>
        <v/>
      </c>
      <c r="C35" s="12" t="str">
        <f aca="false">IF($A35="","",Productos!$D35)</f>
        <v/>
      </c>
      <c r="D35" s="9" t="str">
        <f aca="false">IF($A35="","",MAX(Productos!$D35*2-Productos!$F35,Productos!$D35))</f>
        <v/>
      </c>
      <c r="E35" s="10" t="str">
        <f aca="false">IF($A35="","",Productos!$G35)</f>
        <v/>
      </c>
    </row>
    <row r="36" customFormat="false" ht="15" hidden="false" customHeight="false" outlineLevel="0" collapsed="false">
      <c r="A36" s="11" t="str">
        <f aca="false">IF(Productos!$G36="","",IF(Productos!$G36="OK","",Productos!$A36))</f>
        <v/>
      </c>
      <c r="B36" s="12" t="str">
        <f aca="false">IF($A36="","",Productos!$F36)</f>
        <v/>
      </c>
      <c r="C36" s="12" t="str">
        <f aca="false">IF($A36="","",Productos!$D36)</f>
        <v/>
      </c>
      <c r="D36" s="9" t="str">
        <f aca="false">IF($A36="","",MAX(Productos!$D36*2-Productos!$F36,Productos!$D36))</f>
        <v/>
      </c>
      <c r="E36" s="10" t="str">
        <f aca="false">IF($A36="","",Productos!$G36)</f>
        <v/>
      </c>
    </row>
    <row r="37" customFormat="false" ht="15" hidden="false" customHeight="false" outlineLevel="0" collapsed="false">
      <c r="A37" s="11" t="str">
        <f aca="false">IF(Productos!$G37="","",IF(Productos!$G37="OK","",Productos!$A37))</f>
        <v/>
      </c>
      <c r="B37" s="12" t="str">
        <f aca="false">IF($A37="","",Productos!$F37)</f>
        <v/>
      </c>
      <c r="C37" s="12" t="str">
        <f aca="false">IF($A37="","",Productos!$D37)</f>
        <v/>
      </c>
      <c r="D37" s="9" t="str">
        <f aca="false">IF($A37="","",MAX(Productos!$D37*2-Productos!$F37,Productos!$D37))</f>
        <v/>
      </c>
      <c r="E37" s="10" t="str">
        <f aca="false">IF($A37="","",Productos!$G37)</f>
        <v/>
      </c>
    </row>
    <row r="38" customFormat="false" ht="15" hidden="false" customHeight="false" outlineLevel="0" collapsed="false">
      <c r="A38" s="11" t="str">
        <f aca="false">IF(Productos!$G38="","",IF(Productos!$G38="OK","",Productos!$A38))</f>
        <v/>
      </c>
      <c r="B38" s="12" t="str">
        <f aca="false">IF($A38="","",Productos!$F38)</f>
        <v/>
      </c>
      <c r="C38" s="12" t="str">
        <f aca="false">IF($A38="","",Productos!$D38)</f>
        <v/>
      </c>
      <c r="D38" s="9" t="str">
        <f aca="false">IF($A38="","",MAX(Productos!$D38*2-Productos!$F38,Productos!$D38))</f>
        <v/>
      </c>
      <c r="E38" s="10" t="str">
        <f aca="false">IF($A38="","",Productos!$G38)</f>
        <v/>
      </c>
    </row>
    <row r="39" customFormat="false" ht="15" hidden="false" customHeight="false" outlineLevel="0" collapsed="false">
      <c r="A39" s="11" t="str">
        <f aca="false">IF(Productos!$G39="","",IF(Productos!$G39="OK","",Productos!$A39))</f>
        <v/>
      </c>
      <c r="B39" s="12" t="str">
        <f aca="false">IF($A39="","",Productos!$F39)</f>
        <v/>
      </c>
      <c r="C39" s="12" t="str">
        <f aca="false">IF($A39="","",Productos!$D39)</f>
        <v/>
      </c>
      <c r="D39" s="9" t="str">
        <f aca="false">IF($A39="","",MAX(Productos!$D39*2-Productos!$F39,Productos!$D39))</f>
        <v/>
      </c>
      <c r="E39" s="10" t="str">
        <f aca="false">IF($A39="","",Productos!$G39)</f>
        <v/>
      </c>
    </row>
    <row r="40" customFormat="false" ht="15" hidden="false" customHeight="false" outlineLevel="0" collapsed="false">
      <c r="A40" s="11" t="str">
        <f aca="false">IF(Productos!$G40="","",IF(Productos!$G40="OK","",Productos!$A40))</f>
        <v/>
      </c>
      <c r="B40" s="12" t="str">
        <f aca="false">IF($A40="","",Productos!$F40)</f>
        <v/>
      </c>
      <c r="C40" s="12" t="str">
        <f aca="false">IF($A40="","",Productos!$D40)</f>
        <v/>
      </c>
      <c r="D40" s="9" t="str">
        <f aca="false">IF($A40="","",MAX(Productos!$D40*2-Productos!$F40,Productos!$D40))</f>
        <v/>
      </c>
      <c r="E40" s="10" t="str">
        <f aca="false">IF($A40="","",Productos!$G40)</f>
        <v/>
      </c>
    </row>
    <row r="41" customFormat="false" ht="15" hidden="false" customHeight="false" outlineLevel="0" collapsed="false">
      <c r="A41" s="11" t="str">
        <f aca="false">IF(Productos!$G41="","",IF(Productos!$G41="OK","",Productos!$A41))</f>
        <v/>
      </c>
      <c r="B41" s="12" t="str">
        <f aca="false">IF($A41="","",Productos!$F41)</f>
        <v/>
      </c>
      <c r="C41" s="12" t="str">
        <f aca="false">IF($A41="","",Productos!$D41)</f>
        <v/>
      </c>
      <c r="D41" s="9" t="str">
        <f aca="false">IF($A41="","",MAX(Productos!$D41*2-Productos!$F41,Productos!$D41))</f>
        <v/>
      </c>
      <c r="E41" s="10" t="str">
        <f aca="false">IF($A41="","",Productos!$G41)</f>
        <v/>
      </c>
    </row>
    <row r="42" customFormat="false" ht="15" hidden="false" customHeight="false" outlineLevel="0" collapsed="false">
      <c r="A42" s="11" t="str">
        <f aca="false">IF(Productos!$G42="","",IF(Productos!$G42="OK","",Productos!$A42))</f>
        <v/>
      </c>
      <c r="B42" s="12" t="str">
        <f aca="false">IF($A42="","",Productos!$F42)</f>
        <v/>
      </c>
      <c r="C42" s="12" t="str">
        <f aca="false">IF($A42="","",Productos!$D42)</f>
        <v/>
      </c>
      <c r="D42" s="9" t="str">
        <f aca="false">IF($A42="","",MAX(Productos!$D42*2-Productos!$F42,Productos!$D42))</f>
        <v/>
      </c>
      <c r="E42" s="10" t="str">
        <f aca="false">IF($A42="","",Productos!$G42)</f>
        <v/>
      </c>
    </row>
    <row r="43" customFormat="false" ht="15" hidden="false" customHeight="false" outlineLevel="0" collapsed="false">
      <c r="A43" s="11" t="str">
        <f aca="false">IF(Productos!$G43="","",IF(Productos!$G43="OK","",Productos!$A43))</f>
        <v/>
      </c>
      <c r="B43" s="12" t="str">
        <f aca="false">IF($A43="","",Productos!$F43)</f>
        <v/>
      </c>
      <c r="C43" s="12" t="str">
        <f aca="false">IF($A43="","",Productos!$D43)</f>
        <v/>
      </c>
      <c r="D43" s="9" t="str">
        <f aca="false">IF($A43="","",MAX(Productos!$D43*2-Productos!$F43,Productos!$D43))</f>
        <v/>
      </c>
      <c r="E43" s="10" t="str">
        <f aca="false">IF($A43="","",Productos!$G43)</f>
        <v/>
      </c>
    </row>
    <row r="44" customFormat="false" ht="15" hidden="false" customHeight="false" outlineLevel="0" collapsed="false">
      <c r="A44" s="11" t="str">
        <f aca="false">IF(Productos!$G44="","",IF(Productos!$G44="OK","",Productos!$A44))</f>
        <v/>
      </c>
      <c r="B44" s="12" t="str">
        <f aca="false">IF($A44="","",Productos!$F44)</f>
        <v/>
      </c>
      <c r="C44" s="12" t="str">
        <f aca="false">IF($A44="","",Productos!$D44)</f>
        <v/>
      </c>
      <c r="D44" s="9" t="str">
        <f aca="false">IF($A44="","",MAX(Productos!$D44*2-Productos!$F44,Productos!$D44))</f>
        <v/>
      </c>
      <c r="E44" s="10" t="str">
        <f aca="false">IF($A44="","",Productos!$G44)</f>
        <v/>
      </c>
    </row>
    <row r="45" customFormat="false" ht="15" hidden="false" customHeight="false" outlineLevel="0" collapsed="false">
      <c r="A45" s="11" t="str">
        <f aca="false">IF(Productos!$G45="","",IF(Productos!$G45="OK","",Productos!$A45))</f>
        <v/>
      </c>
      <c r="B45" s="12" t="str">
        <f aca="false">IF($A45="","",Productos!$F45)</f>
        <v/>
      </c>
      <c r="C45" s="12" t="str">
        <f aca="false">IF($A45="","",Productos!$D45)</f>
        <v/>
      </c>
      <c r="D45" s="9" t="str">
        <f aca="false">IF($A45="","",MAX(Productos!$D45*2-Productos!$F45,Productos!$D45))</f>
        <v/>
      </c>
      <c r="E45" s="10" t="str">
        <f aca="false">IF($A45="","",Productos!$G45)</f>
        <v/>
      </c>
    </row>
    <row r="46" customFormat="false" ht="15" hidden="false" customHeight="false" outlineLevel="0" collapsed="false">
      <c r="A46" s="11" t="str">
        <f aca="false">IF(Productos!$G46="","",IF(Productos!$G46="OK","",Productos!$A46))</f>
        <v/>
      </c>
      <c r="B46" s="12" t="str">
        <f aca="false">IF($A46="","",Productos!$F46)</f>
        <v/>
      </c>
      <c r="C46" s="12" t="str">
        <f aca="false">IF($A46="","",Productos!$D46)</f>
        <v/>
      </c>
      <c r="D46" s="9" t="str">
        <f aca="false">IF($A46="","",MAX(Productos!$D46*2-Productos!$F46,Productos!$D46))</f>
        <v/>
      </c>
      <c r="E46" s="10" t="str">
        <f aca="false">IF($A46="","",Productos!$G46)</f>
        <v/>
      </c>
    </row>
    <row r="47" customFormat="false" ht="15" hidden="false" customHeight="false" outlineLevel="0" collapsed="false">
      <c r="A47" s="11" t="str">
        <f aca="false">IF(Productos!$G47="","",IF(Productos!$G47="OK","",Productos!$A47))</f>
        <v/>
      </c>
      <c r="B47" s="12" t="str">
        <f aca="false">IF($A47="","",Productos!$F47)</f>
        <v/>
      </c>
      <c r="C47" s="12" t="str">
        <f aca="false">IF($A47="","",Productos!$D47)</f>
        <v/>
      </c>
      <c r="D47" s="9" t="str">
        <f aca="false">IF($A47="","",MAX(Productos!$D47*2-Productos!$F47,Productos!$D47))</f>
        <v/>
      </c>
      <c r="E47" s="10" t="str">
        <f aca="false">IF($A47="","",Productos!$G47)</f>
        <v/>
      </c>
    </row>
    <row r="48" customFormat="false" ht="15" hidden="false" customHeight="false" outlineLevel="0" collapsed="false">
      <c r="A48" s="11" t="str">
        <f aca="false">IF(Productos!$G48="","",IF(Productos!$G48="OK","",Productos!$A48))</f>
        <v/>
      </c>
      <c r="B48" s="12" t="str">
        <f aca="false">IF($A48="","",Productos!$F48)</f>
        <v/>
      </c>
      <c r="C48" s="12" t="str">
        <f aca="false">IF($A48="","",Productos!$D48)</f>
        <v/>
      </c>
      <c r="D48" s="9" t="str">
        <f aca="false">IF($A48="","",MAX(Productos!$D48*2-Productos!$F48,Productos!$D48))</f>
        <v/>
      </c>
      <c r="E48" s="10" t="str">
        <f aca="false">IF($A48="","",Productos!$G48)</f>
        <v/>
      </c>
    </row>
    <row r="49" customFormat="false" ht="15" hidden="false" customHeight="false" outlineLevel="0" collapsed="false">
      <c r="A49" s="11" t="str">
        <f aca="false">IF(Productos!$G49="","",IF(Productos!$G49="OK","",Productos!$A49))</f>
        <v/>
      </c>
      <c r="B49" s="12" t="str">
        <f aca="false">IF($A49="","",Productos!$F49)</f>
        <v/>
      </c>
      <c r="C49" s="12" t="str">
        <f aca="false">IF($A49="","",Productos!$D49)</f>
        <v/>
      </c>
      <c r="D49" s="9" t="str">
        <f aca="false">IF($A49="","",MAX(Productos!$D49*2-Productos!$F49,Productos!$D49))</f>
        <v/>
      </c>
      <c r="E49" s="10" t="str">
        <f aca="false">IF($A49="","",Productos!$G49)</f>
        <v/>
      </c>
    </row>
    <row r="50" customFormat="false" ht="15" hidden="false" customHeight="false" outlineLevel="0" collapsed="false">
      <c r="A50" s="11" t="str">
        <f aca="false">IF(Productos!$G50="","",IF(Productos!$G50="OK","",Productos!$A50))</f>
        <v/>
      </c>
      <c r="B50" s="12" t="str">
        <f aca="false">IF($A50="","",Productos!$F50)</f>
        <v/>
      </c>
      <c r="C50" s="12" t="str">
        <f aca="false">IF($A50="","",Productos!$D50)</f>
        <v/>
      </c>
      <c r="D50" s="9" t="str">
        <f aca="false">IF($A50="","",MAX(Productos!$D50*2-Productos!$F50,Productos!$D50))</f>
        <v/>
      </c>
      <c r="E50" s="10" t="str">
        <f aca="false">IF($A50="","",Productos!$G50)</f>
        <v/>
      </c>
    </row>
    <row r="51" customFormat="false" ht="15" hidden="false" customHeight="false" outlineLevel="0" collapsed="false">
      <c r="A51" s="11" t="str">
        <f aca="false">IF(Productos!$G51="","",IF(Productos!$G51="OK","",Productos!$A51))</f>
        <v/>
      </c>
      <c r="B51" s="12" t="str">
        <f aca="false">IF($A51="","",Productos!$F51)</f>
        <v/>
      </c>
      <c r="C51" s="12" t="str">
        <f aca="false">IF($A51="","",Productos!$D51)</f>
        <v/>
      </c>
      <c r="D51" s="9" t="str">
        <f aca="false">IF($A51="","",MAX(Productos!$D51*2-Productos!$F51,Productos!$D51))</f>
        <v/>
      </c>
      <c r="E51" s="10" t="str">
        <f aca="false">IF($A51="","",Productos!$G51)</f>
        <v/>
      </c>
    </row>
    <row r="52" customFormat="false" ht="15" hidden="false" customHeight="false" outlineLevel="0" collapsed="false">
      <c r="A52" s="11" t="str">
        <f aca="false">IF(Productos!$G52="","",IF(Productos!$G52="OK","",Productos!$A52))</f>
        <v/>
      </c>
      <c r="B52" s="12" t="str">
        <f aca="false">IF($A52="","",Productos!$F52)</f>
        <v/>
      </c>
      <c r="C52" s="12" t="str">
        <f aca="false">IF($A52="","",Productos!$D52)</f>
        <v/>
      </c>
      <c r="D52" s="9" t="str">
        <f aca="false">IF($A52="","",MAX(Productos!$D52*2-Productos!$F52,Productos!$D52))</f>
        <v/>
      </c>
      <c r="E52" s="10" t="str">
        <f aca="false">IF($A52="","",Productos!$G52)</f>
        <v/>
      </c>
    </row>
    <row r="53" customFormat="false" ht="15" hidden="false" customHeight="false" outlineLevel="0" collapsed="false">
      <c r="A53" s="11" t="str">
        <f aca="false">IF(Productos!$G53="","",IF(Productos!$G53="OK","",Productos!$A53))</f>
        <v/>
      </c>
      <c r="B53" s="12" t="str">
        <f aca="false">IF($A53="","",Productos!$F53)</f>
        <v/>
      </c>
      <c r="C53" s="12" t="str">
        <f aca="false">IF($A53="","",Productos!$D53)</f>
        <v/>
      </c>
      <c r="D53" s="9" t="str">
        <f aca="false">IF($A53="","",MAX(Productos!$D53*2-Productos!$F53,Productos!$D53))</f>
        <v/>
      </c>
      <c r="E53" s="10" t="str">
        <f aca="false">IF($A53="","",Productos!$G53)</f>
        <v/>
      </c>
    </row>
    <row r="54" customFormat="false" ht="15" hidden="false" customHeight="false" outlineLevel="0" collapsed="false">
      <c r="A54" s="11" t="str">
        <f aca="false">IF(Productos!$G54="","",IF(Productos!$G54="OK","",Productos!$A54))</f>
        <v/>
      </c>
      <c r="B54" s="12" t="str">
        <f aca="false">IF($A54="","",Productos!$F54)</f>
        <v/>
      </c>
      <c r="C54" s="12" t="str">
        <f aca="false">IF($A54="","",Productos!$D54)</f>
        <v/>
      </c>
      <c r="D54" s="9" t="str">
        <f aca="false">IF($A54="","",MAX(Productos!$D54*2-Productos!$F54,Productos!$D54))</f>
        <v/>
      </c>
      <c r="E54" s="10" t="str">
        <f aca="false">IF($A54="","",Productos!$G54)</f>
        <v/>
      </c>
    </row>
    <row r="55" customFormat="false" ht="15" hidden="false" customHeight="false" outlineLevel="0" collapsed="false">
      <c r="A55" s="11" t="str">
        <f aca="false">IF(Productos!$G55="","",IF(Productos!$G55="OK","",Productos!$A55))</f>
        <v/>
      </c>
      <c r="B55" s="12" t="str">
        <f aca="false">IF($A55="","",Productos!$F55)</f>
        <v/>
      </c>
      <c r="C55" s="12" t="str">
        <f aca="false">IF($A55="","",Productos!$D55)</f>
        <v/>
      </c>
      <c r="D55" s="9" t="str">
        <f aca="false">IF($A55="","",MAX(Productos!$D55*2-Productos!$F55,Productos!$D55))</f>
        <v/>
      </c>
      <c r="E55" s="10" t="str">
        <f aca="false">IF($A55="","",Productos!$G55)</f>
        <v/>
      </c>
    </row>
    <row r="56" customFormat="false" ht="15" hidden="false" customHeight="false" outlineLevel="0" collapsed="false">
      <c r="A56" s="11" t="str">
        <f aca="false">IF(Productos!$G56="","",IF(Productos!$G56="OK","",Productos!$A56))</f>
        <v/>
      </c>
      <c r="B56" s="12" t="str">
        <f aca="false">IF($A56="","",Productos!$F56)</f>
        <v/>
      </c>
      <c r="C56" s="12" t="str">
        <f aca="false">IF($A56="","",Productos!$D56)</f>
        <v/>
      </c>
      <c r="D56" s="9" t="str">
        <f aca="false">IF($A56="","",MAX(Productos!$D56*2-Productos!$F56,Productos!$D56))</f>
        <v/>
      </c>
      <c r="E56" s="10" t="str">
        <f aca="false">IF($A56="","",Productos!$G56)</f>
        <v/>
      </c>
    </row>
    <row r="57" customFormat="false" ht="15" hidden="false" customHeight="false" outlineLevel="0" collapsed="false">
      <c r="A57" s="11" t="str">
        <f aca="false">IF(Productos!$G57="","",IF(Productos!$G57="OK","",Productos!$A57))</f>
        <v/>
      </c>
      <c r="B57" s="12" t="str">
        <f aca="false">IF($A57="","",Productos!$F57)</f>
        <v/>
      </c>
      <c r="C57" s="12" t="str">
        <f aca="false">IF($A57="","",Productos!$D57)</f>
        <v/>
      </c>
      <c r="D57" s="9" t="str">
        <f aca="false">IF($A57="","",MAX(Productos!$D57*2-Productos!$F57,Productos!$D57))</f>
        <v/>
      </c>
      <c r="E57" s="10" t="str">
        <f aca="false">IF($A57="","",Productos!$G57)</f>
        <v/>
      </c>
    </row>
    <row r="58" customFormat="false" ht="15" hidden="false" customHeight="false" outlineLevel="0" collapsed="false">
      <c r="A58" s="11" t="str">
        <f aca="false">IF(Productos!$G58="","",IF(Productos!$G58="OK","",Productos!$A58))</f>
        <v/>
      </c>
      <c r="B58" s="12" t="str">
        <f aca="false">IF($A58="","",Productos!$F58)</f>
        <v/>
      </c>
      <c r="C58" s="12" t="str">
        <f aca="false">IF($A58="","",Productos!$D58)</f>
        <v/>
      </c>
      <c r="D58" s="9" t="str">
        <f aca="false">IF($A58="","",MAX(Productos!$D58*2-Productos!$F58,Productos!$D58))</f>
        <v/>
      </c>
      <c r="E58" s="10" t="str">
        <f aca="false">IF($A58="","",Productos!$G58)</f>
        <v/>
      </c>
    </row>
    <row r="59" customFormat="false" ht="15" hidden="false" customHeight="false" outlineLevel="0" collapsed="false">
      <c r="A59" s="11" t="str">
        <f aca="false">IF(Productos!$G59="","",IF(Productos!$G59="OK","",Productos!$A59))</f>
        <v/>
      </c>
      <c r="B59" s="12" t="str">
        <f aca="false">IF($A59="","",Productos!$F59)</f>
        <v/>
      </c>
      <c r="C59" s="12" t="str">
        <f aca="false">IF($A59="","",Productos!$D59)</f>
        <v/>
      </c>
      <c r="D59" s="9" t="str">
        <f aca="false">IF($A59="","",MAX(Productos!$D59*2-Productos!$F59,Productos!$D59))</f>
        <v/>
      </c>
      <c r="E59" s="10" t="str">
        <f aca="false">IF($A59="","",Productos!$G59)</f>
        <v/>
      </c>
    </row>
    <row r="60" customFormat="false" ht="15" hidden="false" customHeight="false" outlineLevel="0" collapsed="false">
      <c r="A60" s="11" t="str">
        <f aca="false">IF(Productos!$G60="","",IF(Productos!$G60="OK","",Productos!$A60))</f>
        <v/>
      </c>
      <c r="B60" s="12" t="str">
        <f aca="false">IF($A60="","",Productos!$F60)</f>
        <v/>
      </c>
      <c r="C60" s="12" t="str">
        <f aca="false">IF($A60="","",Productos!$D60)</f>
        <v/>
      </c>
      <c r="D60" s="9" t="str">
        <f aca="false">IF($A60="","",MAX(Productos!$D60*2-Productos!$F60,Productos!$D60))</f>
        <v/>
      </c>
      <c r="E60" s="10" t="str">
        <f aca="false">IF($A60="","",Productos!$G60)</f>
        <v/>
      </c>
    </row>
    <row r="61" customFormat="false" ht="15" hidden="false" customHeight="false" outlineLevel="0" collapsed="false">
      <c r="A61" s="11" t="str">
        <f aca="false">IF(Productos!$G61="","",IF(Productos!$G61="OK","",Productos!$A61))</f>
        <v/>
      </c>
      <c r="B61" s="12" t="str">
        <f aca="false">IF($A61="","",Productos!$F61)</f>
        <v/>
      </c>
      <c r="C61" s="12" t="str">
        <f aca="false">IF($A61="","",Productos!$D61)</f>
        <v/>
      </c>
      <c r="D61" s="9" t="str">
        <f aca="false">IF($A61="","",MAX(Productos!$D61*2-Productos!$F61,Productos!$D61))</f>
        <v/>
      </c>
      <c r="E61" s="10" t="str">
        <f aca="false">IF($A61="","",Productos!$G61)</f>
        <v/>
      </c>
    </row>
    <row r="62" customFormat="false" ht="15" hidden="false" customHeight="false" outlineLevel="0" collapsed="false">
      <c r="A62" s="11" t="str">
        <f aca="false">IF(Productos!$G62="","",IF(Productos!$G62="OK","",Productos!$A62))</f>
        <v/>
      </c>
      <c r="B62" s="12" t="str">
        <f aca="false">IF($A62="","",Productos!$F62)</f>
        <v/>
      </c>
      <c r="C62" s="12" t="str">
        <f aca="false">IF($A62="","",Productos!$D62)</f>
        <v/>
      </c>
      <c r="D62" s="9" t="str">
        <f aca="false">IF($A62="","",MAX(Productos!$D62*2-Productos!$F62,Productos!$D62))</f>
        <v/>
      </c>
      <c r="E62" s="10" t="str">
        <f aca="false">IF($A62="","",Productos!$G62)</f>
        <v/>
      </c>
    </row>
    <row r="63" customFormat="false" ht="15" hidden="false" customHeight="false" outlineLevel="0" collapsed="false">
      <c r="A63" s="11" t="str">
        <f aca="false">IF(Productos!$G63="","",IF(Productos!$G63="OK","",Productos!$A63))</f>
        <v/>
      </c>
      <c r="B63" s="12" t="str">
        <f aca="false">IF($A63="","",Productos!$F63)</f>
        <v/>
      </c>
      <c r="C63" s="12" t="str">
        <f aca="false">IF($A63="","",Productos!$D63)</f>
        <v/>
      </c>
      <c r="D63" s="9" t="str">
        <f aca="false">IF($A63="","",MAX(Productos!$D63*2-Productos!$F63,Productos!$D63))</f>
        <v/>
      </c>
      <c r="E63" s="10" t="str">
        <f aca="false">IF($A63="","",Productos!$G63)</f>
        <v/>
      </c>
    </row>
    <row r="64" customFormat="false" ht="15" hidden="false" customHeight="false" outlineLevel="0" collapsed="false">
      <c r="A64" s="11" t="str">
        <f aca="false">IF(Productos!$G64="","",IF(Productos!$G64="OK","",Productos!$A64))</f>
        <v/>
      </c>
      <c r="B64" s="12" t="str">
        <f aca="false">IF($A64="","",Productos!$F64)</f>
        <v/>
      </c>
      <c r="C64" s="12" t="str">
        <f aca="false">IF($A64="","",Productos!$D64)</f>
        <v/>
      </c>
      <c r="D64" s="9" t="str">
        <f aca="false">IF($A64="","",MAX(Productos!$D64*2-Productos!$F64,Productos!$D64))</f>
        <v/>
      </c>
      <c r="E64" s="10" t="str">
        <f aca="false">IF($A64="","",Productos!$G64)</f>
        <v/>
      </c>
    </row>
    <row r="65" customFormat="false" ht="15" hidden="false" customHeight="false" outlineLevel="0" collapsed="false">
      <c r="A65" s="11" t="str">
        <f aca="false">IF(Productos!$G65="","",IF(Productos!$G65="OK","",Productos!$A65))</f>
        <v/>
      </c>
      <c r="B65" s="12" t="str">
        <f aca="false">IF($A65="","",Productos!$F65)</f>
        <v/>
      </c>
      <c r="C65" s="12" t="str">
        <f aca="false">IF($A65="","",Productos!$D65)</f>
        <v/>
      </c>
      <c r="D65" s="9" t="str">
        <f aca="false">IF($A65="","",MAX(Productos!$D65*2-Productos!$F65,Productos!$D65))</f>
        <v/>
      </c>
      <c r="E65" s="10" t="str">
        <f aca="false">IF($A65="","",Productos!$G65)</f>
        <v/>
      </c>
    </row>
    <row r="66" customFormat="false" ht="15" hidden="false" customHeight="false" outlineLevel="0" collapsed="false">
      <c r="A66" s="11" t="str">
        <f aca="false">IF(Productos!$G66="","",IF(Productos!$G66="OK","",Productos!$A66))</f>
        <v/>
      </c>
      <c r="B66" s="12" t="str">
        <f aca="false">IF($A66="","",Productos!$F66)</f>
        <v/>
      </c>
      <c r="C66" s="12" t="str">
        <f aca="false">IF($A66="","",Productos!$D66)</f>
        <v/>
      </c>
      <c r="D66" s="9" t="str">
        <f aca="false">IF($A66="","",MAX(Productos!$D66*2-Productos!$F66,Productos!$D66))</f>
        <v/>
      </c>
      <c r="E66" s="10" t="str">
        <f aca="false">IF($A66="","",Productos!$G66)</f>
        <v/>
      </c>
    </row>
    <row r="67" customFormat="false" ht="15" hidden="false" customHeight="false" outlineLevel="0" collapsed="false">
      <c r="A67" s="11" t="str">
        <f aca="false">IF(Productos!$G67="","",IF(Productos!$G67="OK","",Productos!$A67))</f>
        <v/>
      </c>
      <c r="B67" s="12" t="str">
        <f aca="false">IF($A67="","",Productos!$F67)</f>
        <v/>
      </c>
      <c r="C67" s="12" t="str">
        <f aca="false">IF($A67="","",Productos!$D67)</f>
        <v/>
      </c>
      <c r="D67" s="9" t="str">
        <f aca="false">IF($A67="","",MAX(Productos!$D67*2-Productos!$F67,Productos!$D67))</f>
        <v/>
      </c>
      <c r="E67" s="10" t="str">
        <f aca="false">IF($A67="","",Productos!$G67)</f>
        <v/>
      </c>
    </row>
    <row r="68" customFormat="false" ht="15" hidden="false" customHeight="false" outlineLevel="0" collapsed="false">
      <c r="A68" s="11" t="str">
        <f aca="false">IF(Productos!$G68="","",IF(Productos!$G68="OK","",Productos!$A68))</f>
        <v/>
      </c>
      <c r="B68" s="12" t="str">
        <f aca="false">IF($A68="","",Productos!$F68)</f>
        <v/>
      </c>
      <c r="C68" s="12" t="str">
        <f aca="false">IF($A68="","",Productos!$D68)</f>
        <v/>
      </c>
      <c r="D68" s="9" t="str">
        <f aca="false">IF($A68="","",MAX(Productos!$D68*2-Productos!$F68,Productos!$D68))</f>
        <v/>
      </c>
      <c r="E68" s="10" t="str">
        <f aca="false">IF($A68="","",Productos!$G68)</f>
        <v/>
      </c>
    </row>
    <row r="69" customFormat="false" ht="15" hidden="false" customHeight="false" outlineLevel="0" collapsed="false">
      <c r="A69" s="11" t="str">
        <f aca="false">IF(Productos!$G69="","",IF(Productos!$G69="OK","",Productos!$A69))</f>
        <v/>
      </c>
      <c r="B69" s="12" t="str">
        <f aca="false">IF($A69="","",Productos!$F69)</f>
        <v/>
      </c>
      <c r="C69" s="12" t="str">
        <f aca="false">IF($A69="","",Productos!$D69)</f>
        <v/>
      </c>
      <c r="D69" s="9" t="str">
        <f aca="false">IF($A69="","",MAX(Productos!$D69*2-Productos!$F69,Productos!$D69))</f>
        <v/>
      </c>
      <c r="E69" s="10" t="str">
        <f aca="false">IF($A69="","",Productos!$G69)</f>
        <v/>
      </c>
    </row>
    <row r="70" customFormat="false" ht="15" hidden="false" customHeight="false" outlineLevel="0" collapsed="false">
      <c r="A70" s="11" t="str">
        <f aca="false">IF(Productos!$G70="","",IF(Productos!$G70="OK","",Productos!$A70))</f>
        <v/>
      </c>
      <c r="B70" s="12" t="str">
        <f aca="false">IF($A70="","",Productos!$F70)</f>
        <v/>
      </c>
      <c r="C70" s="12" t="str">
        <f aca="false">IF($A70="","",Productos!$D70)</f>
        <v/>
      </c>
      <c r="D70" s="9" t="str">
        <f aca="false">IF($A70="","",MAX(Productos!$D70*2-Productos!$F70,Productos!$D70))</f>
        <v/>
      </c>
      <c r="E70" s="10" t="str">
        <f aca="false">IF($A70="","",Productos!$G70)</f>
        <v/>
      </c>
    </row>
    <row r="71" customFormat="false" ht="15" hidden="false" customHeight="false" outlineLevel="0" collapsed="false">
      <c r="A71" s="11" t="str">
        <f aca="false">IF(Productos!$G71="","",IF(Productos!$G71="OK","",Productos!$A71))</f>
        <v/>
      </c>
      <c r="B71" s="12" t="str">
        <f aca="false">IF($A71="","",Productos!$F71)</f>
        <v/>
      </c>
      <c r="C71" s="12" t="str">
        <f aca="false">IF($A71="","",Productos!$D71)</f>
        <v/>
      </c>
      <c r="D71" s="9" t="str">
        <f aca="false">IF($A71="","",MAX(Productos!$D71*2-Productos!$F71,Productos!$D71))</f>
        <v/>
      </c>
      <c r="E71" s="10" t="str">
        <f aca="false">IF($A71="","",Productos!$G71)</f>
        <v/>
      </c>
    </row>
    <row r="72" customFormat="false" ht="15" hidden="false" customHeight="false" outlineLevel="0" collapsed="false">
      <c r="A72" s="11" t="str">
        <f aca="false">IF(Productos!$G72="","",IF(Productos!$G72="OK","",Productos!$A72))</f>
        <v/>
      </c>
      <c r="B72" s="12" t="str">
        <f aca="false">IF($A72="","",Productos!$F72)</f>
        <v/>
      </c>
      <c r="C72" s="12" t="str">
        <f aca="false">IF($A72="","",Productos!$D72)</f>
        <v/>
      </c>
      <c r="D72" s="9" t="str">
        <f aca="false">IF($A72="","",MAX(Productos!$D72*2-Productos!$F72,Productos!$D72))</f>
        <v/>
      </c>
      <c r="E72" s="10" t="str">
        <f aca="false">IF($A72="","",Productos!$G72)</f>
        <v/>
      </c>
    </row>
    <row r="73" customFormat="false" ht="15" hidden="false" customHeight="false" outlineLevel="0" collapsed="false">
      <c r="A73" s="11" t="str">
        <f aca="false">IF(Productos!$G73="","",IF(Productos!$G73="OK","",Productos!$A73))</f>
        <v/>
      </c>
      <c r="B73" s="12" t="str">
        <f aca="false">IF($A73="","",Productos!$F73)</f>
        <v/>
      </c>
      <c r="C73" s="12" t="str">
        <f aca="false">IF($A73="","",Productos!$D73)</f>
        <v/>
      </c>
      <c r="D73" s="9" t="str">
        <f aca="false">IF($A73="","",MAX(Productos!$D73*2-Productos!$F73,Productos!$D73))</f>
        <v/>
      </c>
      <c r="E73" s="10" t="str">
        <f aca="false">IF($A73="","",Productos!$G73)</f>
        <v/>
      </c>
    </row>
    <row r="74" customFormat="false" ht="15" hidden="false" customHeight="false" outlineLevel="0" collapsed="false">
      <c r="A74" s="11" t="str">
        <f aca="false">IF(Productos!$G74="","",IF(Productos!$G74="OK","",Productos!$A74))</f>
        <v/>
      </c>
      <c r="B74" s="12" t="str">
        <f aca="false">IF($A74="","",Productos!$F74)</f>
        <v/>
      </c>
      <c r="C74" s="12" t="str">
        <f aca="false">IF($A74="","",Productos!$D74)</f>
        <v/>
      </c>
      <c r="D74" s="9" t="str">
        <f aca="false">IF($A74="","",MAX(Productos!$D74*2-Productos!$F74,Productos!$D74))</f>
        <v/>
      </c>
      <c r="E74" s="10" t="str">
        <f aca="false">IF($A74="","",Productos!$G74)</f>
        <v/>
      </c>
    </row>
    <row r="75" customFormat="false" ht="15" hidden="false" customHeight="false" outlineLevel="0" collapsed="false">
      <c r="A75" s="11" t="str">
        <f aca="false">IF(Productos!$G75="","",IF(Productos!$G75="OK","",Productos!$A75))</f>
        <v/>
      </c>
      <c r="B75" s="12" t="str">
        <f aca="false">IF($A75="","",Productos!$F75)</f>
        <v/>
      </c>
      <c r="C75" s="12" t="str">
        <f aca="false">IF($A75="","",Productos!$D75)</f>
        <v/>
      </c>
      <c r="D75" s="9" t="str">
        <f aca="false">IF($A75="","",MAX(Productos!$D75*2-Productos!$F75,Productos!$D75))</f>
        <v/>
      </c>
      <c r="E75" s="10" t="str">
        <f aca="false">IF($A75="","",Productos!$G75)</f>
        <v/>
      </c>
    </row>
    <row r="76" customFormat="false" ht="15" hidden="false" customHeight="false" outlineLevel="0" collapsed="false">
      <c r="A76" s="11" t="str">
        <f aca="false">IF(Productos!$G76="","",IF(Productos!$G76="OK","",Productos!$A76))</f>
        <v/>
      </c>
      <c r="B76" s="12" t="str">
        <f aca="false">IF($A76="","",Productos!$F76)</f>
        <v/>
      </c>
      <c r="C76" s="12" t="str">
        <f aca="false">IF($A76="","",Productos!$D76)</f>
        <v/>
      </c>
      <c r="D76" s="9" t="str">
        <f aca="false">IF($A76="","",MAX(Productos!$D76*2-Productos!$F76,Productos!$D76))</f>
        <v/>
      </c>
      <c r="E76" s="10" t="str">
        <f aca="false">IF($A76="","",Productos!$G76)</f>
        <v/>
      </c>
    </row>
    <row r="77" customFormat="false" ht="15" hidden="false" customHeight="false" outlineLevel="0" collapsed="false">
      <c r="A77" s="11" t="str">
        <f aca="false">IF(Productos!$G77="","",IF(Productos!$G77="OK","",Productos!$A77))</f>
        <v/>
      </c>
      <c r="B77" s="12" t="str">
        <f aca="false">IF($A77="","",Productos!$F77)</f>
        <v/>
      </c>
      <c r="C77" s="12" t="str">
        <f aca="false">IF($A77="","",Productos!$D77)</f>
        <v/>
      </c>
      <c r="D77" s="9" t="str">
        <f aca="false">IF($A77="","",MAX(Productos!$D77*2-Productos!$F77,Productos!$D77))</f>
        <v/>
      </c>
      <c r="E77" s="10" t="str">
        <f aca="false">IF($A77="","",Productos!$G77)</f>
        <v/>
      </c>
    </row>
    <row r="78" customFormat="false" ht="15" hidden="false" customHeight="false" outlineLevel="0" collapsed="false">
      <c r="A78" s="11" t="str">
        <f aca="false">IF(Productos!$G78="","",IF(Productos!$G78="OK","",Productos!$A78))</f>
        <v/>
      </c>
      <c r="B78" s="12" t="str">
        <f aca="false">IF($A78="","",Productos!$F78)</f>
        <v/>
      </c>
      <c r="C78" s="12" t="str">
        <f aca="false">IF($A78="","",Productos!$D78)</f>
        <v/>
      </c>
      <c r="D78" s="9" t="str">
        <f aca="false">IF($A78="","",MAX(Productos!$D78*2-Productos!$F78,Productos!$D78))</f>
        <v/>
      </c>
      <c r="E78" s="10" t="str">
        <f aca="false">IF($A78="","",Productos!$G78)</f>
        <v/>
      </c>
    </row>
    <row r="79" customFormat="false" ht="15" hidden="false" customHeight="false" outlineLevel="0" collapsed="false">
      <c r="A79" s="11" t="str">
        <f aca="false">IF(Productos!$G79="","",IF(Productos!$G79="OK","",Productos!$A79))</f>
        <v/>
      </c>
      <c r="B79" s="12" t="str">
        <f aca="false">IF($A79="","",Productos!$F79)</f>
        <v/>
      </c>
      <c r="C79" s="12" t="str">
        <f aca="false">IF($A79="","",Productos!$D79)</f>
        <v/>
      </c>
      <c r="D79" s="9" t="str">
        <f aca="false">IF($A79="","",MAX(Productos!$D79*2-Productos!$F79,Productos!$D79))</f>
        <v/>
      </c>
      <c r="E79" s="10" t="str">
        <f aca="false">IF($A79="","",Productos!$G79)</f>
        <v/>
      </c>
    </row>
    <row r="80" customFormat="false" ht="15" hidden="false" customHeight="false" outlineLevel="0" collapsed="false">
      <c r="A80" s="11" t="str">
        <f aca="false">IF(Productos!$G80="","",IF(Productos!$G80="OK","",Productos!$A80))</f>
        <v/>
      </c>
      <c r="B80" s="12" t="str">
        <f aca="false">IF($A80="","",Productos!$F80)</f>
        <v/>
      </c>
      <c r="C80" s="12" t="str">
        <f aca="false">IF($A80="","",Productos!$D80)</f>
        <v/>
      </c>
      <c r="D80" s="9" t="str">
        <f aca="false">IF($A80="","",MAX(Productos!$D80*2-Productos!$F80,Productos!$D80))</f>
        <v/>
      </c>
      <c r="E80" s="10" t="str">
        <f aca="false">IF($A80="","",Productos!$G80)</f>
        <v/>
      </c>
    </row>
    <row r="81" customFormat="false" ht="15" hidden="false" customHeight="false" outlineLevel="0" collapsed="false">
      <c r="A81" s="11" t="str">
        <f aca="false">IF(Productos!$G81="","",IF(Productos!$G81="OK","",Productos!$A81))</f>
        <v/>
      </c>
      <c r="B81" s="12" t="str">
        <f aca="false">IF($A81="","",Productos!$F81)</f>
        <v/>
      </c>
      <c r="C81" s="12" t="str">
        <f aca="false">IF($A81="","",Productos!$D81)</f>
        <v/>
      </c>
      <c r="D81" s="9" t="str">
        <f aca="false">IF($A81="","",MAX(Productos!$D81*2-Productos!$F81,Productos!$D81))</f>
        <v/>
      </c>
      <c r="E81" s="10" t="str">
        <f aca="false">IF($A81="","",Productos!$G81)</f>
        <v/>
      </c>
    </row>
    <row r="82" customFormat="false" ht="15" hidden="false" customHeight="false" outlineLevel="0" collapsed="false">
      <c r="A82" s="11" t="str">
        <f aca="false">IF(Productos!$G82="","",IF(Productos!$G82="OK","",Productos!$A82))</f>
        <v/>
      </c>
      <c r="B82" s="12" t="str">
        <f aca="false">IF($A82="","",Productos!$F82)</f>
        <v/>
      </c>
      <c r="C82" s="12" t="str">
        <f aca="false">IF($A82="","",Productos!$D82)</f>
        <v/>
      </c>
      <c r="D82" s="9" t="str">
        <f aca="false">IF($A82="","",MAX(Productos!$D82*2-Productos!$F82,Productos!$D82))</f>
        <v/>
      </c>
      <c r="E82" s="10" t="str">
        <f aca="false">IF($A82="","",Productos!$G82)</f>
        <v/>
      </c>
    </row>
    <row r="83" customFormat="false" ht="15" hidden="false" customHeight="false" outlineLevel="0" collapsed="false">
      <c r="A83" s="11" t="str">
        <f aca="false">IF(Productos!$G83="","",IF(Productos!$G83="OK","",Productos!$A83))</f>
        <v/>
      </c>
      <c r="B83" s="12" t="str">
        <f aca="false">IF($A83="","",Productos!$F83)</f>
        <v/>
      </c>
      <c r="C83" s="12" t="str">
        <f aca="false">IF($A83="","",Productos!$D83)</f>
        <v/>
      </c>
      <c r="D83" s="9" t="str">
        <f aca="false">IF($A83="","",MAX(Productos!$D83*2-Productos!$F83,Productos!$D83))</f>
        <v/>
      </c>
      <c r="E83" s="10" t="str">
        <f aca="false">IF($A83="","",Productos!$G83)</f>
        <v/>
      </c>
    </row>
    <row r="84" customFormat="false" ht="15" hidden="false" customHeight="false" outlineLevel="0" collapsed="false">
      <c r="A84" s="11" t="str">
        <f aca="false">IF(Productos!$G84="","",IF(Productos!$G84="OK","",Productos!$A84))</f>
        <v/>
      </c>
      <c r="B84" s="12" t="str">
        <f aca="false">IF($A84="","",Productos!$F84)</f>
        <v/>
      </c>
      <c r="C84" s="12" t="str">
        <f aca="false">IF($A84="","",Productos!$D84)</f>
        <v/>
      </c>
      <c r="D84" s="9" t="str">
        <f aca="false">IF($A84="","",MAX(Productos!$D84*2-Productos!$F84,Productos!$D84))</f>
        <v/>
      </c>
      <c r="E84" s="10" t="str">
        <f aca="false">IF($A84="","",Productos!$G84)</f>
        <v/>
      </c>
    </row>
    <row r="85" customFormat="false" ht="15" hidden="false" customHeight="false" outlineLevel="0" collapsed="false">
      <c r="A85" s="11" t="str">
        <f aca="false">IF(Productos!$G85="","",IF(Productos!$G85="OK","",Productos!$A85))</f>
        <v/>
      </c>
      <c r="B85" s="12" t="str">
        <f aca="false">IF($A85="","",Productos!$F85)</f>
        <v/>
      </c>
      <c r="C85" s="12" t="str">
        <f aca="false">IF($A85="","",Productos!$D85)</f>
        <v/>
      </c>
      <c r="D85" s="9" t="str">
        <f aca="false">IF($A85="","",MAX(Productos!$D85*2-Productos!$F85,Productos!$D85))</f>
        <v/>
      </c>
      <c r="E85" s="10" t="str">
        <f aca="false">IF($A85="","",Productos!$G85)</f>
        <v/>
      </c>
    </row>
    <row r="86" customFormat="false" ht="15" hidden="false" customHeight="false" outlineLevel="0" collapsed="false">
      <c r="A86" s="11" t="str">
        <f aca="false">IF(Productos!$G86="","",IF(Productos!$G86="OK","",Productos!$A86))</f>
        <v/>
      </c>
      <c r="B86" s="12" t="str">
        <f aca="false">IF($A86="","",Productos!$F86)</f>
        <v/>
      </c>
      <c r="C86" s="12" t="str">
        <f aca="false">IF($A86="","",Productos!$D86)</f>
        <v/>
      </c>
      <c r="D86" s="9" t="str">
        <f aca="false">IF($A86="","",MAX(Productos!$D86*2-Productos!$F86,Productos!$D86))</f>
        <v/>
      </c>
      <c r="E86" s="10" t="str">
        <f aca="false">IF($A86="","",Productos!$G86)</f>
        <v/>
      </c>
    </row>
    <row r="87" customFormat="false" ht="15" hidden="false" customHeight="false" outlineLevel="0" collapsed="false">
      <c r="A87" s="11" t="str">
        <f aca="false">IF(Productos!$G87="","",IF(Productos!$G87="OK","",Productos!$A87))</f>
        <v/>
      </c>
      <c r="B87" s="12" t="str">
        <f aca="false">IF($A87="","",Productos!$F87)</f>
        <v/>
      </c>
      <c r="C87" s="12" t="str">
        <f aca="false">IF($A87="","",Productos!$D87)</f>
        <v/>
      </c>
      <c r="D87" s="9" t="str">
        <f aca="false">IF($A87="","",MAX(Productos!$D87*2-Productos!$F87,Productos!$D87))</f>
        <v/>
      </c>
      <c r="E87" s="10" t="str">
        <f aca="false">IF($A87="","",Productos!$G87)</f>
        <v/>
      </c>
    </row>
    <row r="88" customFormat="false" ht="15" hidden="false" customHeight="false" outlineLevel="0" collapsed="false">
      <c r="A88" s="11" t="str">
        <f aca="false">IF(Productos!$G88="","",IF(Productos!$G88="OK","",Productos!$A88))</f>
        <v/>
      </c>
      <c r="B88" s="12" t="str">
        <f aca="false">IF($A88="","",Productos!$F88)</f>
        <v/>
      </c>
      <c r="C88" s="12" t="str">
        <f aca="false">IF($A88="","",Productos!$D88)</f>
        <v/>
      </c>
      <c r="D88" s="9" t="str">
        <f aca="false">IF($A88="","",MAX(Productos!$D88*2-Productos!$F88,Productos!$D88))</f>
        <v/>
      </c>
      <c r="E88" s="10" t="str">
        <f aca="false">IF($A88="","",Productos!$G88)</f>
        <v/>
      </c>
    </row>
    <row r="89" customFormat="false" ht="15" hidden="false" customHeight="false" outlineLevel="0" collapsed="false">
      <c r="A89" s="11" t="str">
        <f aca="false">IF(Productos!$G89="","",IF(Productos!$G89="OK","",Productos!$A89))</f>
        <v/>
      </c>
      <c r="B89" s="12" t="str">
        <f aca="false">IF($A89="","",Productos!$F89)</f>
        <v/>
      </c>
      <c r="C89" s="12" t="str">
        <f aca="false">IF($A89="","",Productos!$D89)</f>
        <v/>
      </c>
      <c r="D89" s="9" t="str">
        <f aca="false">IF($A89="","",MAX(Productos!$D89*2-Productos!$F89,Productos!$D89))</f>
        <v/>
      </c>
      <c r="E89" s="10" t="str">
        <f aca="false">IF($A89="","",Productos!$G89)</f>
        <v/>
      </c>
    </row>
    <row r="90" customFormat="false" ht="15" hidden="false" customHeight="false" outlineLevel="0" collapsed="false">
      <c r="A90" s="11" t="str">
        <f aca="false">IF(Productos!$G90="","",IF(Productos!$G90="OK","",Productos!$A90))</f>
        <v/>
      </c>
      <c r="B90" s="12" t="str">
        <f aca="false">IF($A90="","",Productos!$F90)</f>
        <v/>
      </c>
      <c r="C90" s="12" t="str">
        <f aca="false">IF($A90="","",Productos!$D90)</f>
        <v/>
      </c>
      <c r="D90" s="9" t="str">
        <f aca="false">IF($A90="","",MAX(Productos!$D90*2-Productos!$F90,Productos!$D90))</f>
        <v/>
      </c>
      <c r="E90" s="10" t="str">
        <f aca="false">IF($A90="","",Productos!$G90)</f>
        <v/>
      </c>
    </row>
    <row r="91" customFormat="false" ht="15" hidden="false" customHeight="false" outlineLevel="0" collapsed="false">
      <c r="A91" s="11" t="str">
        <f aca="false">IF(Productos!$G91="","",IF(Productos!$G91="OK","",Productos!$A91))</f>
        <v/>
      </c>
      <c r="B91" s="12" t="str">
        <f aca="false">IF($A91="","",Productos!$F91)</f>
        <v/>
      </c>
      <c r="C91" s="12" t="str">
        <f aca="false">IF($A91="","",Productos!$D91)</f>
        <v/>
      </c>
      <c r="D91" s="9" t="str">
        <f aca="false">IF($A91="","",MAX(Productos!$D91*2-Productos!$F91,Productos!$D91))</f>
        <v/>
      </c>
      <c r="E91" s="10" t="str">
        <f aca="false">IF($A91="","",Productos!$G91)</f>
        <v/>
      </c>
    </row>
    <row r="92" customFormat="false" ht="15" hidden="false" customHeight="false" outlineLevel="0" collapsed="false">
      <c r="A92" s="11" t="str">
        <f aca="false">IF(Productos!$G92="","",IF(Productos!$G92="OK","",Productos!$A92))</f>
        <v/>
      </c>
      <c r="B92" s="12" t="str">
        <f aca="false">IF($A92="","",Productos!$F92)</f>
        <v/>
      </c>
      <c r="C92" s="12" t="str">
        <f aca="false">IF($A92="","",Productos!$D92)</f>
        <v/>
      </c>
      <c r="D92" s="9" t="str">
        <f aca="false">IF($A92="","",MAX(Productos!$D92*2-Productos!$F92,Productos!$D92))</f>
        <v/>
      </c>
      <c r="E92" s="10" t="str">
        <f aca="false">IF($A92="","",Productos!$G92)</f>
        <v/>
      </c>
    </row>
    <row r="93" customFormat="false" ht="15" hidden="false" customHeight="false" outlineLevel="0" collapsed="false">
      <c r="A93" s="11" t="str">
        <f aca="false">IF(Productos!$G93="","",IF(Productos!$G93="OK","",Productos!$A93))</f>
        <v/>
      </c>
      <c r="B93" s="12" t="str">
        <f aca="false">IF($A93="","",Productos!$F93)</f>
        <v/>
      </c>
      <c r="C93" s="12" t="str">
        <f aca="false">IF($A93="","",Productos!$D93)</f>
        <v/>
      </c>
      <c r="D93" s="9" t="str">
        <f aca="false">IF($A93="","",MAX(Productos!$D93*2-Productos!$F93,Productos!$D93))</f>
        <v/>
      </c>
      <c r="E93" s="10" t="str">
        <f aca="false">IF($A93="","",Productos!$G93)</f>
        <v/>
      </c>
    </row>
    <row r="94" customFormat="false" ht="15" hidden="false" customHeight="false" outlineLevel="0" collapsed="false">
      <c r="A94" s="11" t="str">
        <f aca="false">IF(Productos!$G94="","",IF(Productos!$G94="OK","",Productos!$A94))</f>
        <v/>
      </c>
      <c r="B94" s="12" t="str">
        <f aca="false">IF($A94="","",Productos!$F94)</f>
        <v/>
      </c>
      <c r="C94" s="12" t="str">
        <f aca="false">IF($A94="","",Productos!$D94)</f>
        <v/>
      </c>
      <c r="D94" s="9" t="str">
        <f aca="false">IF($A94="","",MAX(Productos!$D94*2-Productos!$F94,Productos!$D94))</f>
        <v/>
      </c>
      <c r="E94" s="10" t="str">
        <f aca="false">IF($A94="","",Productos!$G94)</f>
        <v/>
      </c>
    </row>
    <row r="95" customFormat="false" ht="15" hidden="false" customHeight="false" outlineLevel="0" collapsed="false">
      <c r="A95" s="11" t="str">
        <f aca="false">IF(Productos!$G95="","",IF(Productos!$G95="OK","",Productos!$A95))</f>
        <v/>
      </c>
      <c r="B95" s="12" t="str">
        <f aca="false">IF($A95="","",Productos!$F95)</f>
        <v/>
      </c>
      <c r="C95" s="12" t="str">
        <f aca="false">IF($A95="","",Productos!$D95)</f>
        <v/>
      </c>
      <c r="D95" s="9" t="str">
        <f aca="false">IF($A95="","",MAX(Productos!$D95*2-Productos!$F95,Productos!$D95))</f>
        <v/>
      </c>
      <c r="E95" s="10" t="str">
        <f aca="false">IF($A95="","",Productos!$G95)</f>
        <v/>
      </c>
    </row>
    <row r="96" customFormat="false" ht="15" hidden="false" customHeight="false" outlineLevel="0" collapsed="false">
      <c r="A96" s="11" t="str">
        <f aca="false">IF(Productos!$G96="","",IF(Productos!$G96="OK","",Productos!$A96))</f>
        <v/>
      </c>
      <c r="B96" s="12" t="str">
        <f aca="false">IF($A96="","",Productos!$F96)</f>
        <v/>
      </c>
      <c r="C96" s="12" t="str">
        <f aca="false">IF($A96="","",Productos!$D96)</f>
        <v/>
      </c>
      <c r="D96" s="9" t="str">
        <f aca="false">IF($A96="","",MAX(Productos!$D96*2-Productos!$F96,Productos!$D96))</f>
        <v/>
      </c>
      <c r="E96" s="10" t="str">
        <f aca="false">IF($A96="","",Productos!$G96)</f>
        <v/>
      </c>
    </row>
    <row r="97" customFormat="false" ht="15" hidden="false" customHeight="false" outlineLevel="0" collapsed="false">
      <c r="A97" s="11" t="str">
        <f aca="false">IF(Productos!$G97="","",IF(Productos!$G97="OK","",Productos!$A97))</f>
        <v/>
      </c>
      <c r="B97" s="12" t="str">
        <f aca="false">IF($A97="","",Productos!$F97)</f>
        <v/>
      </c>
      <c r="C97" s="12" t="str">
        <f aca="false">IF($A97="","",Productos!$D97)</f>
        <v/>
      </c>
      <c r="D97" s="9" t="str">
        <f aca="false">IF($A97="","",MAX(Productos!$D97*2-Productos!$F97,Productos!$D97))</f>
        <v/>
      </c>
      <c r="E97" s="10" t="str">
        <f aca="false">IF($A97="","",Productos!$G97)</f>
        <v/>
      </c>
    </row>
    <row r="98" customFormat="false" ht="15" hidden="false" customHeight="false" outlineLevel="0" collapsed="false">
      <c r="A98" s="11" t="str">
        <f aca="false">IF(Productos!$G98="","",IF(Productos!$G98="OK","",Productos!$A98))</f>
        <v/>
      </c>
      <c r="B98" s="12" t="str">
        <f aca="false">IF($A98="","",Productos!$F98)</f>
        <v/>
      </c>
      <c r="C98" s="12" t="str">
        <f aca="false">IF($A98="","",Productos!$D98)</f>
        <v/>
      </c>
      <c r="D98" s="9" t="str">
        <f aca="false">IF($A98="","",MAX(Productos!$D98*2-Productos!$F98,Productos!$D98))</f>
        <v/>
      </c>
      <c r="E98" s="10" t="str">
        <f aca="false">IF($A98="","",Productos!$G98)</f>
        <v/>
      </c>
    </row>
    <row r="99" customFormat="false" ht="15" hidden="false" customHeight="false" outlineLevel="0" collapsed="false">
      <c r="A99" s="11" t="str">
        <f aca="false">IF(Productos!$G99="","",IF(Productos!$G99="OK","",Productos!$A99))</f>
        <v/>
      </c>
      <c r="B99" s="12" t="str">
        <f aca="false">IF($A99="","",Productos!$F99)</f>
        <v/>
      </c>
      <c r="C99" s="12" t="str">
        <f aca="false">IF($A99="","",Productos!$D99)</f>
        <v/>
      </c>
      <c r="D99" s="9" t="str">
        <f aca="false">IF($A99="","",MAX(Productos!$D99*2-Productos!$F99,Productos!$D99))</f>
        <v/>
      </c>
      <c r="E99" s="10" t="str">
        <f aca="false">IF($A99="","",Productos!$G99)</f>
        <v/>
      </c>
    </row>
    <row r="100" customFormat="false" ht="15" hidden="false" customHeight="false" outlineLevel="0" collapsed="false">
      <c r="A100" s="11" t="str">
        <f aca="false">IF(Productos!$G100="","",IF(Productos!$G100="OK","",Productos!$A100))</f>
        <v/>
      </c>
      <c r="B100" s="12" t="str">
        <f aca="false">IF($A100="","",Productos!$F100)</f>
        <v/>
      </c>
      <c r="C100" s="12" t="str">
        <f aca="false">IF($A100="","",Productos!$D100)</f>
        <v/>
      </c>
      <c r="D100" s="9" t="str">
        <f aca="false">IF($A100="","",MAX(Productos!$D100*2-Productos!$F100,Productos!$D100))</f>
        <v/>
      </c>
      <c r="E100" s="10" t="str">
        <f aca="false">IF($A100="","",Productos!$G100)</f>
        <v/>
      </c>
    </row>
    <row r="101" customFormat="false" ht="15" hidden="false" customHeight="false" outlineLevel="0" collapsed="false">
      <c r="A101" s="11" t="str">
        <f aca="false">IF(Productos!$G101="","",IF(Productos!$G101="OK","",Productos!$A101))</f>
        <v/>
      </c>
      <c r="B101" s="12" t="str">
        <f aca="false">IF($A101="","",Productos!$F101)</f>
        <v/>
      </c>
      <c r="C101" s="12" t="str">
        <f aca="false">IF($A101="","",Productos!$D101)</f>
        <v/>
      </c>
      <c r="D101" s="9" t="str">
        <f aca="false">IF($A101="","",MAX(Productos!$D101*2-Productos!$F101,Productos!$D101))</f>
        <v/>
      </c>
      <c r="E101" s="10" t="str">
        <f aca="false">IF($A101="","",Productos!$G101)</f>
        <v/>
      </c>
    </row>
    <row r="102" customFormat="false" ht="15" hidden="false" customHeight="false" outlineLevel="0" collapsed="false">
      <c r="A102" s="11" t="str">
        <f aca="false">IF(Productos!$G102="","",IF(Productos!$G102="OK","",Productos!$A102))</f>
        <v/>
      </c>
      <c r="B102" s="12" t="str">
        <f aca="false">IF($A102="","",Productos!$F102)</f>
        <v/>
      </c>
      <c r="C102" s="12" t="str">
        <f aca="false">IF($A102="","",Productos!$D102)</f>
        <v/>
      </c>
      <c r="D102" s="9" t="str">
        <f aca="false">IF($A102="","",MAX(Productos!$D102*2-Productos!$F102,Productos!$D102))</f>
        <v/>
      </c>
      <c r="E102" s="10" t="str">
        <f aca="false">IF($A102="","",Productos!$G102)</f>
        <v/>
      </c>
    </row>
    <row r="103" customFormat="false" ht="15" hidden="false" customHeight="false" outlineLevel="0" collapsed="false">
      <c r="A103" s="11" t="str">
        <f aca="false">IF(Productos!$G103="","",IF(Productos!$G103="OK","",Productos!$A103))</f>
        <v/>
      </c>
      <c r="B103" s="12" t="str">
        <f aca="false">IF($A103="","",Productos!$F103)</f>
        <v/>
      </c>
      <c r="C103" s="12" t="str">
        <f aca="false">IF($A103="","",Productos!$D103)</f>
        <v/>
      </c>
      <c r="D103" s="9" t="str">
        <f aca="false">IF($A103="","",MAX(Productos!$D103*2-Productos!$F103,Productos!$D103))</f>
        <v/>
      </c>
      <c r="E103" s="10" t="str">
        <f aca="false">IF($A103="","",Productos!$G103)</f>
        <v/>
      </c>
    </row>
    <row r="104" customFormat="false" ht="15" hidden="false" customHeight="false" outlineLevel="0" collapsed="false">
      <c r="A104" s="11" t="str">
        <f aca="false">IF(Productos!$G104="","",IF(Productos!$G104="OK","",Productos!$A104))</f>
        <v/>
      </c>
      <c r="B104" s="12" t="str">
        <f aca="false">IF($A104="","",Productos!$F104)</f>
        <v/>
      </c>
      <c r="C104" s="12" t="str">
        <f aca="false">IF($A104="","",Productos!$D104)</f>
        <v/>
      </c>
      <c r="D104" s="9" t="str">
        <f aca="false">IF($A104="","",MAX(Productos!$D104*2-Productos!$F104,Productos!$D104))</f>
        <v/>
      </c>
      <c r="E104" s="10" t="str">
        <f aca="false">IF($A104="","",Productos!$G104)</f>
        <v/>
      </c>
    </row>
    <row r="106" customFormat="false" ht="15" hidden="false" customHeight="false" outlineLevel="0" collapsed="false">
      <c r="A106" s="13" t="s">
        <v>46</v>
      </c>
    </row>
  </sheetData>
  <mergeCells count="2">
    <mergeCell ref="A1:E1"/>
    <mergeCell ref="A2:E2"/>
  </mergeCells>
  <conditionalFormatting sqref="E5:E104">
    <cfRule type="cellIs" priority="2" operator="equal" aboveAverage="0" equalAverage="0" bottom="0" percent="0" rank="0" text="" dxfId="0">
      <formula>"REPONER"</formula>
    </cfRule>
    <cfRule type="cellIs" priority="3" operator="equal" aboveAverage="0" equalAverage="0" bottom="0" percent="0" rank="0" text="" dxfId="1">
      <formula>"SIN 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2026-10-25T18:58:20Z</dcterms:created>
  <dc:creator>openpyxl</dc:creator>
  <dc:description/>
  <dc:language>en-US</dc:language>
  <cp:lastModifiedBy/>
  <dcterms:modified xsi:type="dcterms:W3CDTF">2026-10-25T18:58:21Z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